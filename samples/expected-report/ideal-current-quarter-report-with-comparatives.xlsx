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  <sheet sheetId="2" name="SLA" state="visible" r:id="rId5"/>
    <sheet sheetId="3" name="Segment reoprt" state="visible" r:id="rId6"/>
    <sheet sheetId="4" name="Cash Flow" state="visible" r:id="rId7"/>
    <sheet sheetId="5" name="Changes in Equity" state="visible" r:id="rId8"/>
    <sheet sheetId="6" name="Notes and Disclosures" state="visible" r:id="rId9"/>
    <sheet sheetId="7" name="XBRL Mapping" state="visible" r:id="rId10"/>
    <sheet sheetId="8" name="Unmapped Ledgers" state="visible" r:id="rId11"/>
  </sheets>
  <calcPr calcId="171027"/>
</workbook>
</file>

<file path=xl/sharedStrings.xml><?xml version="1.0" encoding="utf-8"?>
<sst xmlns="http://schemas.openxmlformats.org/spreadsheetml/2006/main" count="629" uniqueCount="266">
  <si>
    <t>Test Limited</t>
  </si>
  <si>
    <t>CIN: U00000GJ2026PLC000000</t>
  </si>
  <si>
    <t>Registered Office: Surat</t>
  </si>
  <si>
    <t>Statement of Financial Results for the quarter ended on 30/06/2025</t>
  </si>
  <si>
    <t>(Amount in actuals except per share data)</t>
  </si>
  <si>
    <t>Particulars</t>
  </si>
  <si>
    <t>Quarter Ended</t>
  </si>
  <si>
    <t>Period ended</t>
  </si>
  <si>
    <t>Year Ended</t>
  </si>
  <si>
    <t/>
  </si>
  <si>
    <t>30/06/2025</t>
  </si>
  <si>
    <t>31/03/2025</t>
  </si>
  <si>
    <t>A</t>
  </si>
  <si>
    <t xml:space="preserve">Date of start of reporting period </t>
  </si>
  <si>
    <t>01/04/2025</t>
  </si>
  <si>
    <t>01/01/2025</t>
  </si>
  <si>
    <t>01/04/2024</t>
  </si>
  <si>
    <t>B</t>
  </si>
  <si>
    <t>Date of end of reporting period</t>
  </si>
  <si>
    <t>C</t>
  </si>
  <si>
    <t>Whether results are audited or unaudited</t>
  </si>
  <si>
    <t>Unaudited</t>
  </si>
  <si>
    <t>D</t>
  </si>
  <si>
    <t>Nature of report standalone or consolidated</t>
  </si>
  <si>
    <t>Standalone</t>
  </si>
  <si>
    <t>I</t>
  </si>
  <si>
    <t>Revenue From Operations</t>
  </si>
  <si>
    <t>II</t>
  </si>
  <si>
    <t>Other Income</t>
  </si>
  <si>
    <t>III</t>
  </si>
  <si>
    <t>Total Income (I + II)</t>
  </si>
  <si>
    <t>IV</t>
  </si>
  <si>
    <t>Expenses</t>
  </si>
  <si>
    <t>(a)</t>
  </si>
  <si>
    <t>Cost of materials consumed</t>
  </si>
  <si>
    <t>(b)</t>
  </si>
  <si>
    <t>Purchases of stock-in-trade</t>
  </si>
  <si>
    <t>(c)</t>
  </si>
  <si>
    <t>Changes in inventories of finished goods, work-in-progress and stock-in-trade</t>
  </si>
  <si>
    <t>(d)</t>
  </si>
  <si>
    <t xml:space="preserve">Employee benefit expense </t>
  </si>
  <si>
    <t>(e)</t>
  </si>
  <si>
    <t>Finance Costs</t>
  </si>
  <si>
    <t>(f)</t>
  </si>
  <si>
    <t>Depreciation and amortisation expense</t>
  </si>
  <si>
    <t>(g)</t>
  </si>
  <si>
    <t>Other Expenses</t>
  </si>
  <si>
    <t>(h)</t>
  </si>
  <si>
    <t>(Disclosed each and every item that is being included in Other Expenses and is more than 10% of the Total Expense)</t>
  </si>
  <si>
    <t>Total expenses (IV)</t>
  </si>
  <si>
    <t>V</t>
  </si>
  <si>
    <t>Profit/(loss) before exceptional and extraordinary items and tax (III-IV)</t>
  </si>
  <si>
    <t>VI</t>
  </si>
  <si>
    <t xml:space="preserve">Exceptional items </t>
  </si>
  <si>
    <t>VII</t>
  </si>
  <si>
    <t>Profit before extraordinary items and tax (V - VI)</t>
  </si>
  <si>
    <t>VIII</t>
  </si>
  <si>
    <t>Extraordinary items</t>
  </si>
  <si>
    <t>IX</t>
  </si>
  <si>
    <t>Profit before tax (VII- VIII)</t>
  </si>
  <si>
    <t>X</t>
  </si>
  <si>
    <t>Tax Expense</t>
  </si>
  <si>
    <t xml:space="preserve">Current Tax </t>
  </si>
  <si>
    <t xml:space="preserve">(Less):- MAT Credit </t>
  </si>
  <si>
    <t>Current Tax Expense Relating to Prior years</t>
  </si>
  <si>
    <t>Deferred Tax (Asset)/Liabilities</t>
  </si>
  <si>
    <t>XI</t>
  </si>
  <si>
    <t>Profit (Loss) for the period from continuing operations (IX-X)</t>
  </si>
  <si>
    <t>XII</t>
  </si>
  <si>
    <t>Profit/(loss) from discontinued operations before tax</t>
  </si>
  <si>
    <t>XIII</t>
  </si>
  <si>
    <t>Tax expenses of discontinued operations</t>
  </si>
  <si>
    <t>XIV</t>
  </si>
  <si>
    <t>Profit/(loss) from Discontinued operations (after tax) (XII-XIII)</t>
  </si>
  <si>
    <t>XV</t>
  </si>
  <si>
    <t>Profit (Loss) for the period before minority interest (XI + XIV)</t>
  </si>
  <si>
    <t>XVI</t>
  </si>
  <si>
    <t>Share of Profit (Loss) of Associates</t>
  </si>
  <si>
    <t>XVII</t>
  </si>
  <si>
    <t>Profit (Loss) of Minority Interest</t>
  </si>
  <si>
    <t>XVIII</t>
  </si>
  <si>
    <t>Net Profit (Loss) for the period (XV+XVI-XVII)</t>
  </si>
  <si>
    <t>XIX</t>
  </si>
  <si>
    <t>Details of equity share capital</t>
  </si>
  <si>
    <t>Paid-up equity share capital</t>
  </si>
  <si>
    <t>Face value of equity share capital (Per Share)</t>
  </si>
  <si>
    <t>10</t>
  </si>
  <si>
    <t>XX</t>
  </si>
  <si>
    <t>Details of Debt Securities</t>
  </si>
  <si>
    <t>Reserves excluding Revaluaton Reserve</t>
  </si>
  <si>
    <t>XXI</t>
  </si>
  <si>
    <t>Earnings per share</t>
  </si>
  <si>
    <t>Earnings per share (not annualised for half year / Period ended)</t>
  </si>
  <si>
    <t>Basic earnings (loss) per share from continuing and discotinued operations</t>
  </si>
  <si>
    <t>Diluted earnings (loss) per share continuing and discotinued operations</t>
  </si>
  <si>
    <t>Notes on Financial Results:-</t>
  </si>
  <si>
    <t>The above results have been reviewed by the Audit Committee and have been approved by the Board of Directors of the Company at their meeting held on 2025-07-15.</t>
  </si>
  <si>
    <t>The financial results have been prepared in accordance with Indian Accounting Standards prescribed under the Companies Act, 2013 and Schedule III Division II presentation requirements.</t>
  </si>
  <si>
    <t>The Company presents financial results based on uploaded trial balance data and rule-based ledger mappings.</t>
  </si>
  <si>
    <t>Earnings per share are calculated on paid-up equity share capital where available. Period EPS is not annualised.</t>
  </si>
  <si>
    <t>There are no investor complaints pending as on the reporting date, unless otherwise specified by management.</t>
  </si>
  <si>
    <t>Previous period figures have been regrouped/rearranged wherever necessary.</t>
  </si>
  <si>
    <t>Unmapped ledgers, if any, are listed below and must be reviewed before external use.</t>
  </si>
  <si>
    <t>For, Test Limited</t>
  </si>
  <si>
    <t>Amit Desai</t>
  </si>
  <si>
    <t>Date : 2025-07-15</t>
  </si>
  <si>
    <t>Director</t>
  </si>
  <si>
    <t>Place:- Surat</t>
  </si>
  <si>
    <t>DIN: 01234567</t>
  </si>
  <si>
    <t>Unmapped Ledgers</t>
  </si>
  <si>
    <t>Status</t>
  </si>
  <si>
    <t>Ledger</t>
  </si>
  <si>
    <t>Debit</t>
  </si>
  <si>
    <t>Credit</t>
  </si>
  <si>
    <t>Net Amount</t>
  </si>
  <si>
    <t>unmapped</t>
  </si>
  <si>
    <t>Secret Suspense Account</t>
  </si>
  <si>
    <t>(Amount in actuals)</t>
  </si>
  <si>
    <t>Standalone Statement of Assets and Liabilities</t>
  </si>
  <si>
    <t xml:space="preserve">As at
30/06/2025</t>
  </si>
  <si>
    <t xml:space="preserve">As at
31/03/2025</t>
  </si>
  <si>
    <t>ASSETS</t>
  </si>
  <si>
    <t>1</t>
  </si>
  <si>
    <t>Non-current assets</t>
  </si>
  <si>
    <t>(a)  Property, Plant and Equipment</t>
  </si>
  <si>
    <t>(b)  Capital Work-In-Progress</t>
  </si>
  <si>
    <t>(c)  Investment Properties</t>
  </si>
  <si>
    <t>(d) Goodwill</t>
  </si>
  <si>
    <t>(e) Other Intangible Assets</t>
  </si>
  <si>
    <t>(f) Intangible Assets under Development</t>
  </si>
  <si>
    <t>(g) Financial Assets</t>
  </si>
  <si>
    <t>i. Investments</t>
  </si>
  <si>
    <t>ii. Trade Receivables</t>
  </si>
  <si>
    <t>iii. Loan</t>
  </si>
  <si>
    <t>iv. Other Financial Assets</t>
  </si>
  <si>
    <t>(h) Deferred tax Assets (net)</t>
  </si>
  <si>
    <t>(i) Other Non-Current Assets</t>
  </si>
  <si>
    <t>Total Non-Current Assets</t>
  </si>
  <si>
    <t>2</t>
  </si>
  <si>
    <t>Current assets</t>
  </si>
  <si>
    <t>(a) Inventories</t>
  </si>
  <si>
    <t>(b) Financial Assets</t>
  </si>
  <si>
    <t>iii. Cash and cash Equivalents</t>
  </si>
  <si>
    <t>iv. Bank balance other than(iii) above</t>
  </si>
  <si>
    <t>v. Loan</t>
  </si>
  <si>
    <t>(c) Current tax assets (net)</t>
  </si>
  <si>
    <t>(d) Other Current Assets</t>
  </si>
  <si>
    <t>Total Current Assets</t>
  </si>
  <si>
    <t>Total Assets(1+2)</t>
  </si>
  <si>
    <t>EQUITY AND LIABILITIES</t>
  </si>
  <si>
    <t>Equity</t>
  </si>
  <si>
    <t>(a) Equity Share Capital</t>
  </si>
  <si>
    <t>(b) Other equity</t>
  </si>
  <si>
    <t>Total Equity</t>
  </si>
  <si>
    <t>Liabilities</t>
  </si>
  <si>
    <t>Non Current liabilities</t>
  </si>
  <si>
    <t>(a) Financial liabilities</t>
  </si>
  <si>
    <t>i. Borrowings</t>
  </si>
  <si>
    <t>ii. Trade Payables</t>
  </si>
  <si>
    <t>iii. Other Financial Liabilities</t>
  </si>
  <si>
    <t>(b) Provision</t>
  </si>
  <si>
    <t>(c) Deferred tax liabilities (net)</t>
  </si>
  <si>
    <t>(d) Other Non-Current liabilities</t>
  </si>
  <si>
    <t>Total Non-Current liabilities</t>
  </si>
  <si>
    <t>Current Liabilities</t>
  </si>
  <si>
    <t>ii. Financial payable</t>
  </si>
  <si>
    <t>a. Total outstanding Dues of Micro enterprises and small enterprises</t>
  </si>
  <si>
    <t>b. Total outstanding Dues of Creditors other than Micro enterprise and small enterprises</t>
  </si>
  <si>
    <t>iii. Other Financial liabilities</t>
  </si>
  <si>
    <t>(b) Provisions</t>
  </si>
  <si>
    <t>(c) Current tax liabilities</t>
  </si>
  <si>
    <t>(d) Other Liabilities</t>
  </si>
  <si>
    <t>Total Current liabilities</t>
  </si>
  <si>
    <t>Total Equity and liabilities</t>
  </si>
  <si>
    <t>Check</t>
  </si>
  <si>
    <t>UNAUDITED STANDALONE SEGMENT INFORMATION FOR QUARTER ENDED 30/06/2025</t>
  </si>
  <si>
    <t>YEAR ENDED</t>
  </si>
  <si>
    <t xml:space="preserve">Date of start of reporting quarter </t>
  </si>
  <si>
    <t xml:space="preserve">Date of end of reporting quarter </t>
  </si>
  <si>
    <t>Standalone/quarter</t>
  </si>
  <si>
    <t>Standalone/ Year Ended</t>
  </si>
  <si>
    <t>Segment Revenue</t>
  </si>
  <si>
    <t>Primary Segment</t>
  </si>
  <si>
    <t>Revenue from Operation</t>
  </si>
  <si>
    <t>Segment Results</t>
  </si>
  <si>
    <t>Profit before Tax</t>
  </si>
  <si>
    <t>3</t>
  </si>
  <si>
    <t>Segment Assets</t>
  </si>
  <si>
    <t>Unallocated</t>
  </si>
  <si>
    <t>Total Segment Assets</t>
  </si>
  <si>
    <t>4</t>
  </si>
  <si>
    <t>Segment Liabilities</t>
  </si>
  <si>
    <t>Total Segment Liabilities</t>
  </si>
  <si>
    <t>Statement of Cash Flows for FY 2025-26 Q1</t>
  </si>
  <si>
    <t>Report Type: standalone | Framework: Schedule III Division II / Ind AS</t>
  </si>
  <si>
    <t>Current Period</t>
  </si>
  <si>
    <t>Cash flows from operating activities</t>
  </si>
  <si>
    <t>Profit before tax</t>
  </si>
  <si>
    <t>Adjustments for depreciation and amortisation</t>
  </si>
  <si>
    <t>Finance costs</t>
  </si>
  <si>
    <t>Operating profit before working capital changes</t>
  </si>
  <si>
    <t>Cash flows from investing activities</t>
  </si>
  <si>
    <t>Purchase / sale of property, plant and equipment</t>
  </si>
  <si>
    <t>Cash flows from financing activities</t>
  </si>
  <si>
    <t>Borrowings and finance costs</t>
  </si>
  <si>
    <t>Cash and cash equivalents at period end</t>
  </si>
  <si>
    <t>Statement of Changes in Equity for FY 2025-26 Q1</t>
  </si>
  <si>
    <t>Equity Share Capital</t>
  </si>
  <si>
    <t>Other Equity</t>
  </si>
  <si>
    <t>Total</t>
  </si>
  <si>
    <t>Balance at beginning of reporting period</t>
  </si>
  <si>
    <t>Changes during the period</t>
  </si>
  <si>
    <t>Balance at end of reporting period</t>
  </si>
  <si>
    <t>Notes, Accounting Policies and Disclosures for FY 2025-26 Q1</t>
  </si>
  <si>
    <t>The financial results have been prepared in accordance with Indian Accounting Standards applicable to Schedule III Division II presentation.</t>
  </si>
  <si>
    <t>The report has been generated from uploaded trial balance data and rule-based ledger mappings.</t>
  </si>
  <si>
    <t>Audit status: Unaudited.</t>
  </si>
  <si>
    <t>Board meeting date: 2025-07-15.</t>
  </si>
  <si>
    <t>5</t>
  </si>
  <si>
    <t>Paid-up capital: 100000; face value: 10.</t>
  </si>
  <si>
    <t>6</t>
  </si>
  <si>
    <t>Director: Amit Desai; DIN: 01234567.</t>
  </si>
  <si>
    <t>7</t>
  </si>
  <si>
    <t>CSR, crypto/virtual currency, and other statutory disclosures should be reviewed by the CA before external use.</t>
  </si>
  <si>
    <t>8</t>
  </si>
  <si>
    <t>Previous period figures should be regrouped/rearranged wherever necessary.</t>
  </si>
  <si>
    <t>Schedule III Line</t>
  </si>
  <si>
    <t>Statement</t>
  </si>
  <si>
    <t>XBRL Element</t>
  </si>
  <si>
    <t>Mapping Source</t>
  </si>
  <si>
    <t>balance_sheet</t>
  </si>
  <si>
    <t>in-gaap:EquityShareCapital</t>
  </si>
  <si>
    <t>keyword_rule</t>
  </si>
  <si>
    <t>in-gaap:OtherEquity</t>
  </si>
  <si>
    <t>Trade Payables</t>
  </si>
  <si>
    <t>in-gaap:TradePayablesCurrent</t>
  </si>
  <si>
    <t>Borrowings</t>
  </si>
  <si>
    <t>in-gaap:CurrentBorrowings</t>
  </si>
  <si>
    <t>Current Tax Payable</t>
  </si>
  <si>
    <t>Fixed Assets</t>
  </si>
  <si>
    <t>Property, Plant and Equipment</t>
  </si>
  <si>
    <t>in-gaap:PropertyPlantAndEquipment</t>
  </si>
  <si>
    <t>Inventory</t>
  </si>
  <si>
    <t>Inventories</t>
  </si>
  <si>
    <t>in-gaap:Inventories</t>
  </si>
  <si>
    <t>Bank Account</t>
  </si>
  <si>
    <t>Bank Balances Other Than Cash and Cash Equivalents</t>
  </si>
  <si>
    <t>in-gaap:BankBalancesOtherThanCashAndCashEquivalents</t>
  </si>
  <si>
    <t>Deposit Asset</t>
  </si>
  <si>
    <t>Investments</t>
  </si>
  <si>
    <t>in-gaap:Investments</t>
  </si>
  <si>
    <t>Flat Sales</t>
  </si>
  <si>
    <t>Revenue from Operations</t>
  </si>
  <si>
    <t>profit_loss</t>
  </si>
  <si>
    <t>in-gaap:RevenueFromOperations</t>
  </si>
  <si>
    <t>in-gaap:OtherIncome</t>
  </si>
  <si>
    <t>Material Consumed</t>
  </si>
  <si>
    <t>Cost of Materials Consumed</t>
  </si>
  <si>
    <t>in-gaap:CostOfMaterialsConsumed</t>
  </si>
  <si>
    <t>Salary Expense</t>
  </si>
  <si>
    <t>Employee Benefits Expense</t>
  </si>
  <si>
    <t>in-gaap:EmployeeBenefitsExpense</t>
  </si>
  <si>
    <t>Depreciation</t>
  </si>
  <si>
    <t>Depreciation and Amortisation Expense</t>
  </si>
  <si>
    <t>in-gaap:DepreciationDepletionAndAmortisationExpense</t>
  </si>
  <si>
    <t>in-gaap:TaxExpense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</si>
</sst>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;-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8" width="15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0" customHeight="1" spans="1:8" x14ac:dyDescent="0.25">
      <c r="A5" s="2" t="s">
        <v>3</v>
      </c>
      <c r="B5" s="2"/>
      <c r="C5" s="2"/>
      <c r="D5" s="2"/>
      <c r="E5" s="2"/>
      <c r="F5" s="2"/>
      <c r="G5" s="2"/>
      <c r="H5" s="2"/>
    </row>
    <row r="6" ht="20" customHeight="1" spans="1:8" x14ac:dyDescent="0.25">
      <c r="A6" s="2" t="s">
        <v>4</v>
      </c>
      <c r="B6" s="2"/>
      <c r="C6" s="2"/>
      <c r="D6" s="2"/>
      <c r="E6" s="2"/>
      <c r="F6" s="2"/>
      <c r="G6" s="2"/>
      <c r="H6" s="2"/>
    </row>
    <row r="7" spans="1:8" x14ac:dyDescent="0.25">
      <c r="A7" s="3" t="s">
        <v>5</v>
      </c>
      <c r="B7" s="3"/>
      <c r="C7" s="4" t="s">
        <v>6</v>
      </c>
      <c r="D7" s="4"/>
      <c r="E7" s="4"/>
      <c r="F7" s="4" t="s">
        <v>7</v>
      </c>
      <c r="G7" s="4"/>
      <c r="H7" s="4" t="s">
        <v>8</v>
      </c>
    </row>
    <row r="8" spans="1:8" x14ac:dyDescent="0.25">
      <c r="A8" s="4" t="s">
        <v>9</v>
      </c>
      <c r="B8" s="3" t="s">
        <v>9</v>
      </c>
      <c r="C8" s="4" t="s">
        <v>10</v>
      </c>
      <c r="D8" s="4" t="s">
        <v>11</v>
      </c>
      <c r="E8" s="4" t="s">
        <v>11</v>
      </c>
      <c r="F8" s="4" t="s">
        <v>10</v>
      </c>
      <c r="G8" s="4" t="s">
        <v>11</v>
      </c>
      <c r="H8" s="4" t="s">
        <v>11</v>
      </c>
    </row>
    <row r="9" spans="1:8" x14ac:dyDescent="0.25">
      <c r="A9" s="4" t="s">
        <v>12</v>
      </c>
      <c r="B9" s="3" t="s">
        <v>13</v>
      </c>
      <c r="C9" s="4" t="s">
        <v>14</v>
      </c>
      <c r="D9" s="4" t="s">
        <v>15</v>
      </c>
      <c r="E9" s="4" t="s">
        <v>16</v>
      </c>
      <c r="F9" s="4" t="s">
        <v>14</v>
      </c>
      <c r="G9" s="4" t="s">
        <v>16</v>
      </c>
      <c r="H9" s="4" t="s">
        <v>16</v>
      </c>
    </row>
    <row r="10" spans="1:8" x14ac:dyDescent="0.25">
      <c r="A10" s="4" t="s">
        <v>17</v>
      </c>
      <c r="B10" s="3" t="s">
        <v>18</v>
      </c>
      <c r="C10" s="5">
        <f>C8</f>
      </c>
      <c r="D10" s="5">
        <f>D8</f>
      </c>
      <c r="E10" s="5">
        <f>E8</f>
      </c>
      <c r="F10" s="5">
        <f>F8</f>
      </c>
      <c r="G10" s="5">
        <f>G8</f>
      </c>
      <c r="H10" s="5">
        <f>H8</f>
      </c>
    </row>
    <row r="11" spans="1:8" x14ac:dyDescent="0.25">
      <c r="A11" s="4" t="s">
        <v>19</v>
      </c>
      <c r="B11" s="3" t="s">
        <v>20</v>
      </c>
      <c r="C11" s="4" t="s">
        <v>21</v>
      </c>
      <c r="D11" s="4" t="s">
        <v>21</v>
      </c>
      <c r="E11" s="4" t="s">
        <v>21</v>
      </c>
      <c r="F11" s="4" t="s">
        <v>21</v>
      </c>
      <c r="G11" s="4" t="s">
        <v>21</v>
      </c>
      <c r="H11" s="4" t="s">
        <v>21</v>
      </c>
    </row>
    <row r="12" spans="1:8" x14ac:dyDescent="0.25">
      <c r="A12" s="4" t="s">
        <v>22</v>
      </c>
      <c r="B12" s="3" t="s">
        <v>23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</row>
    <row r="13" spans="1:8" x14ac:dyDescent="0.25">
      <c r="A13" s="6" t="s">
        <v>25</v>
      </c>
      <c r="B13" s="7" t="s">
        <v>26</v>
      </c>
      <c r="C13" s="8">
        <v>85000</v>
      </c>
      <c r="D13" s="8">
        <v>70000</v>
      </c>
      <c r="E13" s="8">
        <v>300000</v>
      </c>
      <c r="F13" s="8">
        <v>85000</v>
      </c>
      <c r="G13" s="8">
        <v>300000</v>
      </c>
      <c r="H13" s="8">
        <v>300000</v>
      </c>
    </row>
    <row r="14" spans="1:8" x14ac:dyDescent="0.25">
      <c r="A14" s="6" t="s">
        <v>27</v>
      </c>
      <c r="B14" s="7" t="s">
        <v>28</v>
      </c>
      <c r="C14" s="8">
        <v>17500</v>
      </c>
      <c r="D14" s="8">
        <v>5000</v>
      </c>
      <c r="E14" s="8">
        <v>25000</v>
      </c>
      <c r="F14" s="8">
        <v>17500</v>
      </c>
      <c r="G14" s="8">
        <v>25000</v>
      </c>
      <c r="H14" s="8">
        <v>25000</v>
      </c>
    </row>
    <row r="15" spans="1:8" x14ac:dyDescent="0.25">
      <c r="A15" s="6" t="s">
        <v>29</v>
      </c>
      <c r="B15" s="7" t="s">
        <v>30</v>
      </c>
      <c r="C15" s="8">
        <f>C13+C14</f>
      </c>
      <c r="D15" s="8">
        <f>D13+D14</f>
      </c>
      <c r="E15" s="8">
        <f>E13+E14</f>
      </c>
      <c r="F15" s="8">
        <f>F13+F14</f>
      </c>
      <c r="G15" s="8">
        <f>G13+G14</f>
      </c>
      <c r="H15" s="8">
        <f>H13+H14</f>
      </c>
    </row>
    <row r="16" spans="1:8" x14ac:dyDescent="0.25">
      <c r="A16" s="6" t="s">
        <v>31</v>
      </c>
      <c r="B16" s="7" t="s">
        <v>32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</row>
    <row r="17" spans="1:8" x14ac:dyDescent="0.25">
      <c r="A17" s="6" t="s">
        <v>33</v>
      </c>
      <c r="B17" s="7" t="s">
        <v>34</v>
      </c>
      <c r="C17" s="8">
        <v>50000</v>
      </c>
      <c r="D17" s="8">
        <v>35000</v>
      </c>
      <c r="E17" s="8">
        <v>120000</v>
      </c>
      <c r="F17" s="8">
        <v>50000</v>
      </c>
      <c r="G17" s="8">
        <v>120000</v>
      </c>
      <c r="H17" s="8">
        <v>120000</v>
      </c>
    </row>
    <row r="18" spans="1:8" x14ac:dyDescent="0.25">
      <c r="A18" s="6" t="s">
        <v>35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x14ac:dyDescent="0.25">
      <c r="A19" s="6" t="s">
        <v>37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1:8" x14ac:dyDescent="0.25">
      <c r="A20" s="6" t="s">
        <v>39</v>
      </c>
      <c r="B20" s="7" t="s">
        <v>40</v>
      </c>
      <c r="C20" s="8">
        <v>40000</v>
      </c>
      <c r="D20" s="8">
        <v>28000</v>
      </c>
      <c r="E20" s="8">
        <v>90000</v>
      </c>
      <c r="F20" s="8">
        <v>40000</v>
      </c>
      <c r="G20" s="8">
        <v>90000</v>
      </c>
      <c r="H20" s="8">
        <v>90000</v>
      </c>
    </row>
    <row r="21" spans="1:8" x14ac:dyDescent="0.25">
      <c r="A21" s="6" t="s">
        <v>41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</row>
    <row r="22" spans="1:8" x14ac:dyDescent="0.25">
      <c r="A22" s="6" t="s">
        <v>43</v>
      </c>
      <c r="B22" s="7" t="s">
        <v>44</v>
      </c>
      <c r="C22" s="8">
        <v>3000</v>
      </c>
      <c r="D22" s="8">
        <v>1500</v>
      </c>
      <c r="E22" s="8">
        <v>9000</v>
      </c>
      <c r="F22" s="8">
        <v>3000</v>
      </c>
      <c r="G22" s="8">
        <v>9000</v>
      </c>
      <c r="H22" s="8">
        <v>9000</v>
      </c>
    </row>
    <row r="23" spans="1:8" x14ac:dyDescent="0.25">
      <c r="A23" s="6" t="s">
        <v>45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25">
      <c r="A24" s="6" t="s">
        <v>47</v>
      </c>
      <c r="B24" s="7" t="s">
        <v>48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 t="s">
        <v>9</v>
      </c>
    </row>
    <row r="25" spans="1:8" x14ac:dyDescent="0.25">
      <c r="A25" s="6" t="s">
        <v>9</v>
      </c>
      <c r="B25" s="7" t="s">
        <v>49</v>
      </c>
      <c r="C25" s="8">
        <f>SUM(C17:C24)</f>
      </c>
      <c r="D25" s="8">
        <f>SUM(D17:D24)</f>
      </c>
      <c r="E25" s="8">
        <f>SUM(E17:E24)</f>
      </c>
      <c r="F25" s="8">
        <f>SUM(F17:F24)</f>
      </c>
      <c r="G25" s="8">
        <f>SUM(G17:G24)</f>
      </c>
      <c r="H25" s="8">
        <f>SUM(H17:H24)</f>
      </c>
    </row>
    <row r="26" spans="1:8" x14ac:dyDescent="0.25">
      <c r="A26" s="6" t="s">
        <v>50</v>
      </c>
      <c r="B26" s="7" t="s">
        <v>51</v>
      </c>
      <c r="C26" s="8">
        <f>C15-C25</f>
      </c>
      <c r="D26" s="8">
        <f>D15-D25</f>
      </c>
      <c r="E26" s="8">
        <f>E15-E25</f>
      </c>
      <c r="F26" s="8">
        <f>F15-F25</f>
      </c>
      <c r="G26" s="8">
        <f>G15-G25</f>
      </c>
      <c r="H26" s="8">
        <f>H15-H25</f>
      </c>
    </row>
    <row r="27" spans="1:8" x14ac:dyDescent="0.25">
      <c r="A27" s="6" t="s">
        <v>52</v>
      </c>
      <c r="B27" s="7" t="s">
        <v>53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25">
      <c r="A28" s="6" t="s">
        <v>54</v>
      </c>
      <c r="B28" s="7" t="s">
        <v>55</v>
      </c>
      <c r="C28" s="8">
        <f>C26-C27</f>
      </c>
      <c r="D28" s="8">
        <f>D26-D27</f>
      </c>
      <c r="E28" s="8">
        <f>E26-E27</f>
      </c>
      <c r="F28" s="8">
        <f>F26-F27</f>
      </c>
      <c r="G28" s="8">
        <f>G26-G27</f>
      </c>
      <c r="H28" s="8">
        <f>H26-H27</f>
      </c>
    </row>
    <row r="29" spans="1:8" x14ac:dyDescent="0.25">
      <c r="A29" s="6" t="s">
        <v>56</v>
      </c>
      <c r="B29" s="7" t="s">
        <v>57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25">
      <c r="A30" s="6" t="s">
        <v>58</v>
      </c>
      <c r="B30" s="7" t="s">
        <v>59</v>
      </c>
      <c r="C30" s="8">
        <f>C28-C29</f>
      </c>
      <c r="D30" s="8">
        <f>D28-D29</f>
      </c>
      <c r="E30" s="8">
        <f>E28-E29</f>
      </c>
      <c r="F30" s="8">
        <f>F28-F29</f>
      </c>
      <c r="G30" s="8">
        <f>G28-G29</f>
      </c>
      <c r="H30" s="8">
        <f>H28-H29</f>
      </c>
    </row>
    <row r="31" spans="1:8" x14ac:dyDescent="0.25">
      <c r="A31" s="6" t="s">
        <v>60</v>
      </c>
      <c r="B31" s="7" t="s">
        <v>61</v>
      </c>
      <c r="C31" s="6" t="s">
        <v>9</v>
      </c>
      <c r="D31" s="6" t="s">
        <v>9</v>
      </c>
      <c r="E31" s="6" t="s">
        <v>9</v>
      </c>
      <c r="F31" s="6" t="s">
        <v>9</v>
      </c>
      <c r="G31" s="6" t="s">
        <v>9</v>
      </c>
      <c r="H31" s="6" t="s">
        <v>9</v>
      </c>
    </row>
    <row r="32" spans="1:8" x14ac:dyDescent="0.25">
      <c r="A32" s="6" t="s">
        <v>33</v>
      </c>
      <c r="B32" s="7" t="s">
        <v>62</v>
      </c>
      <c r="C32" s="8">
        <v>12500</v>
      </c>
      <c r="D32" s="8">
        <v>7500</v>
      </c>
      <c r="E32" s="8">
        <v>30000</v>
      </c>
      <c r="F32" s="8">
        <v>12500</v>
      </c>
      <c r="G32" s="8">
        <v>30000</v>
      </c>
      <c r="H32" s="8">
        <v>30000</v>
      </c>
    </row>
    <row r="33" spans="1:8" x14ac:dyDescent="0.25">
      <c r="A33" s="6" t="s">
        <v>35</v>
      </c>
      <c r="B33" s="7" t="s">
        <v>63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</row>
    <row r="34" spans="1:8" x14ac:dyDescent="0.25">
      <c r="A34" s="6" t="s">
        <v>37</v>
      </c>
      <c r="B34" s="7" t="s">
        <v>64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</row>
    <row r="35" spans="1:8" x14ac:dyDescent="0.25">
      <c r="A35" s="6" t="s">
        <v>39</v>
      </c>
      <c r="B35" s="7" t="s">
        <v>65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25">
      <c r="A36" s="6" t="s">
        <v>66</v>
      </c>
      <c r="B36" s="7" t="s">
        <v>67</v>
      </c>
      <c r="C36" s="8">
        <f>C30-C32-C33-C34-C35</f>
      </c>
      <c r="D36" s="8">
        <f>D30-D32-D33-D34-D35</f>
      </c>
      <c r="E36" s="8">
        <f>E30-E32-E33-E34-E35</f>
      </c>
      <c r="F36" s="8">
        <f>F30-F32-F33-F34-F35</f>
      </c>
      <c r="G36" s="8">
        <f>G30-G32-G33-G34-G35</f>
      </c>
      <c r="H36" s="8">
        <f>H30-H32-H33-H34-H35</f>
      </c>
    </row>
    <row r="37" spans="1:8" x14ac:dyDescent="0.25">
      <c r="A37" s="6" t="s">
        <v>68</v>
      </c>
      <c r="B37" s="7" t="s">
        <v>69</v>
      </c>
      <c r="C37" s="8">
        <v>0</v>
      </c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</row>
    <row r="38" spans="1:8" x14ac:dyDescent="0.25">
      <c r="A38" s="6" t="s">
        <v>70</v>
      </c>
      <c r="B38" s="7" t="s">
        <v>71</v>
      </c>
      <c r="C38" s="8">
        <v>0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</row>
    <row r="39" spans="1:8" x14ac:dyDescent="0.25">
      <c r="A39" s="6" t="s">
        <v>72</v>
      </c>
      <c r="B39" s="7" t="s">
        <v>73</v>
      </c>
      <c r="C39" s="8">
        <f>C37-C38</f>
      </c>
      <c r="D39" s="8">
        <f>D37-D38</f>
      </c>
      <c r="E39" s="8">
        <f>E37-E38</f>
      </c>
      <c r="F39" s="8">
        <f>F37-F38</f>
      </c>
      <c r="G39" s="8">
        <f>G37-G38</f>
      </c>
      <c r="H39" s="8">
        <f>H37-H38</f>
      </c>
    </row>
    <row r="40" spans="1:8" x14ac:dyDescent="0.25">
      <c r="A40" s="6" t="s">
        <v>74</v>
      </c>
      <c r="B40" s="7" t="s">
        <v>75</v>
      </c>
      <c r="C40" s="8">
        <f>C36+C39</f>
      </c>
      <c r="D40" s="8">
        <f>D36+D39</f>
      </c>
      <c r="E40" s="8">
        <f>E36+E39</f>
      </c>
      <c r="F40" s="8">
        <f>F36+F39</f>
      </c>
      <c r="G40" s="8">
        <f>G36+G39</f>
      </c>
      <c r="H40" s="8">
        <f>H36+H39</f>
      </c>
    </row>
    <row r="41" spans="1:8" x14ac:dyDescent="0.25">
      <c r="A41" s="6" t="s">
        <v>76</v>
      </c>
      <c r="B41" s="7" t="s">
        <v>77</v>
      </c>
      <c r="C41" s="8">
        <v>0</v>
      </c>
      <c r="D41" s="6" t="s">
        <v>9</v>
      </c>
      <c r="E41" s="6" t="s">
        <v>9</v>
      </c>
      <c r="F41" s="6" t="s">
        <v>9</v>
      </c>
      <c r="G41" s="6" t="s">
        <v>9</v>
      </c>
      <c r="H41" s="6" t="s">
        <v>9</v>
      </c>
    </row>
    <row r="42" spans="1:8" x14ac:dyDescent="0.25">
      <c r="A42" s="6" t="s">
        <v>78</v>
      </c>
      <c r="B42" s="7" t="s">
        <v>79</v>
      </c>
      <c r="C42" s="8">
        <v>0</v>
      </c>
      <c r="D42" s="6" t="s">
        <v>9</v>
      </c>
      <c r="E42" s="6" t="s">
        <v>9</v>
      </c>
      <c r="F42" s="6" t="s">
        <v>9</v>
      </c>
      <c r="G42" s="6" t="s">
        <v>9</v>
      </c>
      <c r="H42" s="6" t="s">
        <v>9</v>
      </c>
    </row>
    <row r="43" spans="1:8" x14ac:dyDescent="0.25">
      <c r="A43" s="6" t="s">
        <v>80</v>
      </c>
      <c r="B43" s="7" t="s">
        <v>81</v>
      </c>
      <c r="C43" s="8">
        <f>C40+C41-C42</f>
      </c>
      <c r="D43" s="8">
        <f>D40+D41-D42</f>
      </c>
      <c r="E43" s="8">
        <f>E40+E41-E42</f>
      </c>
      <c r="F43" s="8">
        <f>F40+F41-F42</f>
      </c>
      <c r="G43" s="8">
        <f>G40+G41-G42</f>
      </c>
      <c r="H43" s="8">
        <f>H40+H41-H42</f>
      </c>
    </row>
    <row r="44" spans="1:8" x14ac:dyDescent="0.25">
      <c r="A44" s="6" t="s">
        <v>82</v>
      </c>
      <c r="B44" s="7" t="s">
        <v>83</v>
      </c>
      <c r="C44" s="6" t="s">
        <v>9</v>
      </c>
      <c r="D44" s="6" t="s">
        <v>9</v>
      </c>
      <c r="E44" s="6" t="s">
        <v>9</v>
      </c>
      <c r="F44" s="6" t="s">
        <v>9</v>
      </c>
      <c r="G44" s="6" t="s">
        <v>9</v>
      </c>
      <c r="H44" s="6" t="s">
        <v>9</v>
      </c>
    </row>
    <row r="45" spans="1:8" x14ac:dyDescent="0.25">
      <c r="A45" s="6" t="s">
        <v>9</v>
      </c>
      <c r="B45" s="7" t="s">
        <v>84</v>
      </c>
      <c r="C45" s="8">
        <v>100000</v>
      </c>
      <c r="D45" s="8">
        <v>100000</v>
      </c>
      <c r="E45" s="8">
        <v>100000</v>
      </c>
      <c r="F45" s="8">
        <v>100000</v>
      </c>
      <c r="G45" s="8">
        <v>100000</v>
      </c>
      <c r="H45" s="8">
        <v>100000</v>
      </c>
    </row>
    <row r="46" spans="1:8" x14ac:dyDescent="0.25">
      <c r="A46" s="6" t="s">
        <v>9</v>
      </c>
      <c r="B46" s="7" t="s">
        <v>85</v>
      </c>
      <c r="C46" s="6" t="s">
        <v>86</v>
      </c>
      <c r="D46" s="6" t="s">
        <v>9</v>
      </c>
      <c r="E46" s="6" t="s">
        <v>9</v>
      </c>
      <c r="F46" s="6" t="s">
        <v>9</v>
      </c>
      <c r="G46" s="6" t="s">
        <v>9</v>
      </c>
      <c r="H46" s="6" t="s">
        <v>9</v>
      </c>
    </row>
    <row r="47" spans="1:8" x14ac:dyDescent="0.25">
      <c r="A47" s="6" t="s">
        <v>87</v>
      </c>
      <c r="B47" s="7" t="s">
        <v>88</v>
      </c>
      <c r="C47" s="6" t="s">
        <v>9</v>
      </c>
      <c r="D47" s="6" t="s">
        <v>9</v>
      </c>
      <c r="E47" s="6" t="s">
        <v>9</v>
      </c>
      <c r="F47" s="6" t="s">
        <v>9</v>
      </c>
      <c r="G47" s="6" t="s">
        <v>9</v>
      </c>
      <c r="H47" s="6" t="s">
        <v>9</v>
      </c>
    </row>
    <row r="48" spans="1:8" x14ac:dyDescent="0.25">
      <c r="A48" s="6" t="s">
        <v>9</v>
      </c>
      <c r="B48" s="7" t="s">
        <v>89</v>
      </c>
      <c r="C48" s="8">
        <v>50000</v>
      </c>
      <c r="D48" s="8">
        <v>5000</v>
      </c>
      <c r="E48" s="8">
        <v>50000</v>
      </c>
      <c r="F48" s="8">
        <v>50000</v>
      </c>
      <c r="G48" s="8">
        <v>50000</v>
      </c>
      <c r="H48" s="8">
        <v>50000</v>
      </c>
    </row>
    <row r="49" spans="1:8" x14ac:dyDescent="0.25">
      <c r="A49" s="6" t="s">
        <v>90</v>
      </c>
      <c r="B49" s="7" t="s">
        <v>91</v>
      </c>
      <c r="C49" s="6" t="s">
        <v>9</v>
      </c>
      <c r="D49" s="6" t="s">
        <v>9</v>
      </c>
      <c r="E49" s="6" t="s">
        <v>9</v>
      </c>
      <c r="F49" s="6" t="s">
        <v>9</v>
      </c>
      <c r="G49" s="6" t="s">
        <v>9</v>
      </c>
      <c r="H49" s="6" t="s">
        <v>9</v>
      </c>
    </row>
    <row r="50" spans="1:8" x14ac:dyDescent="0.25">
      <c r="A50" s="6" t="s">
        <v>9</v>
      </c>
      <c r="B50" s="7" t="s">
        <v>92</v>
      </c>
      <c r="C50" s="6" t="s">
        <v>9</v>
      </c>
      <c r="D50" s="6" t="s">
        <v>9</v>
      </c>
      <c r="E50" s="6" t="s">
        <v>9</v>
      </c>
      <c r="F50" s="6" t="s">
        <v>9</v>
      </c>
      <c r="G50" s="6" t="s">
        <v>9</v>
      </c>
      <c r="H50" s="6" t="s">
        <v>9</v>
      </c>
    </row>
    <row r="51" spans="1:8" x14ac:dyDescent="0.25">
      <c r="A51" s="6" t="s">
        <v>9</v>
      </c>
      <c r="B51" s="7" t="s">
        <v>93</v>
      </c>
      <c r="C51" s="8">
        <f>IF(C45=0,0,C43/(C45/10))</f>
      </c>
      <c r="D51" s="8">
        <f>IF(D45=0,0,D43/(D45/10))</f>
      </c>
      <c r="E51" s="8">
        <f>IF(E45=0,0,E43/(E45/10))</f>
      </c>
      <c r="F51" s="8">
        <f>IF(F45=0,0,F43/(F45/10))</f>
      </c>
      <c r="G51" s="8">
        <f>IF(G45=0,0,G43/(G45/10))</f>
      </c>
      <c r="H51" s="8">
        <f>IF(H45=0,0,H43/(H45/10))</f>
      </c>
    </row>
    <row r="52" spans="1:8" x14ac:dyDescent="0.25">
      <c r="A52" s="6" t="s">
        <v>9</v>
      </c>
      <c r="B52" s="7" t="s">
        <v>94</v>
      </c>
      <c r="C52" s="8">
        <f>C51</f>
      </c>
      <c r="D52" s="8">
        <f>D51</f>
      </c>
      <c r="E52" s="8">
        <f>E51</f>
      </c>
      <c r="F52" s="8">
        <f>F51</f>
      </c>
      <c r="G52" s="8">
        <f>G51</f>
      </c>
      <c r="H52" s="8">
        <f>H51</f>
      </c>
    </row>
    <row r="54" spans="1:1" x14ac:dyDescent="0.25">
      <c r="A54" s="6" t="s">
        <v>95</v>
      </c>
    </row>
    <row r="55" spans="1:8" x14ac:dyDescent="0.25">
      <c r="A55" s="8">
        <v>1</v>
      </c>
      <c r="B55" s="6" t="s">
        <v>96</v>
      </c>
      <c r="C55" s="6"/>
      <c r="D55" s="6"/>
      <c r="E55" s="6"/>
      <c r="F55" s="6"/>
      <c r="G55" s="6"/>
      <c r="H55" s="6"/>
    </row>
    <row r="56" spans="1:8" x14ac:dyDescent="0.25">
      <c r="A56" s="8">
        <v>2</v>
      </c>
      <c r="B56" s="6" t="s">
        <v>97</v>
      </c>
      <c r="C56" s="6"/>
      <c r="D56" s="6"/>
      <c r="E56" s="6"/>
      <c r="F56" s="6"/>
      <c r="G56" s="6"/>
      <c r="H56" s="6"/>
    </row>
    <row r="57" spans="1:8" x14ac:dyDescent="0.25">
      <c r="A57" s="8">
        <v>3</v>
      </c>
      <c r="B57" s="6" t="s">
        <v>98</v>
      </c>
      <c r="C57" s="6"/>
      <c r="D57" s="6"/>
      <c r="E57" s="6"/>
      <c r="F57" s="6"/>
      <c r="G57" s="6"/>
      <c r="H57" s="6"/>
    </row>
    <row r="58" spans="1:8" x14ac:dyDescent="0.25">
      <c r="A58" s="8">
        <v>4</v>
      </c>
      <c r="B58" s="6" t="s">
        <v>99</v>
      </c>
      <c r="C58" s="6"/>
      <c r="D58" s="6"/>
      <c r="E58" s="6"/>
      <c r="F58" s="6"/>
      <c r="G58" s="6"/>
      <c r="H58" s="6"/>
    </row>
    <row r="59" spans="1:8" x14ac:dyDescent="0.25">
      <c r="A59" s="8">
        <v>5</v>
      </c>
      <c r="B59" s="6" t="s">
        <v>100</v>
      </c>
      <c r="C59" s="6"/>
      <c r="D59" s="6"/>
      <c r="E59" s="6"/>
      <c r="F59" s="6"/>
      <c r="G59" s="6"/>
      <c r="H59" s="6"/>
    </row>
    <row r="60" spans="1:8" x14ac:dyDescent="0.25">
      <c r="A60" s="8">
        <v>6</v>
      </c>
      <c r="B60" s="6" t="s">
        <v>101</v>
      </c>
      <c r="C60" s="6"/>
      <c r="D60" s="6"/>
      <c r="E60" s="6"/>
      <c r="F60" s="6"/>
      <c r="G60" s="6"/>
      <c r="H60" s="6"/>
    </row>
    <row r="61" spans="1:8" x14ac:dyDescent="0.25">
      <c r="A61" s="8">
        <v>7</v>
      </c>
      <c r="B61" s="6" t="s">
        <v>102</v>
      </c>
      <c r="C61" s="6"/>
      <c r="D61" s="6"/>
      <c r="E61" s="6"/>
      <c r="F61" s="6"/>
      <c r="G61" s="6"/>
      <c r="H61" s="6"/>
    </row>
    <row r="64" spans="8:8" x14ac:dyDescent="0.25">
      <c r="H64" s="6" t="s">
        <v>103</v>
      </c>
    </row>
    <row r="68" spans="8:8" x14ac:dyDescent="0.25">
      <c r="H68" s="6" t="s">
        <v>104</v>
      </c>
    </row>
    <row r="69" spans="1:8" x14ac:dyDescent="0.25">
      <c r="A69" s="6" t="s">
        <v>105</v>
      </c>
      <c r="H69" s="6" t="s">
        <v>106</v>
      </c>
    </row>
    <row r="70" spans="1:8" x14ac:dyDescent="0.25">
      <c r="A70" s="6" t="s">
        <v>107</v>
      </c>
      <c r="H70" s="6" t="s">
        <v>108</v>
      </c>
    </row>
    <row r="72" spans="1:8" s="9" customFormat="1" x14ac:dyDescent="0.25">
      <c r="A72" s="4" t="s">
        <v>109</v>
      </c>
      <c r="B72" s="4"/>
      <c r="C72" s="4"/>
      <c r="D72" s="4"/>
      <c r="E72" s="4"/>
      <c r="F72" s="4"/>
      <c r="G72" s="4"/>
      <c r="H72" s="4"/>
    </row>
    <row r="73" spans="1:5" x14ac:dyDescent="0.25">
      <c r="A73" s="4" t="s">
        <v>110</v>
      </c>
      <c r="B73" s="3" t="s">
        <v>111</v>
      </c>
      <c r="C73" s="4" t="s">
        <v>112</v>
      </c>
      <c r="D73" s="4" t="s">
        <v>113</v>
      </c>
      <c r="E73" s="4" t="s">
        <v>114</v>
      </c>
    </row>
    <row r="74" spans="1:5" x14ac:dyDescent="0.25">
      <c r="A74" s="6" t="s">
        <v>115</v>
      </c>
      <c r="B74" s="7" t="s">
        <v>42</v>
      </c>
      <c r="C74" s="8">
        <v>5000</v>
      </c>
      <c r="D74" s="8">
        <v>0</v>
      </c>
      <c r="E74" s="8">
        <v>5000</v>
      </c>
    </row>
    <row r="75" spans="1:5" x14ac:dyDescent="0.25">
      <c r="A75" s="6" t="s">
        <v>115</v>
      </c>
      <c r="B75" s="7" t="s">
        <v>116</v>
      </c>
      <c r="C75" s="8">
        <v>5000</v>
      </c>
      <c r="D75" s="8">
        <v>0</v>
      </c>
      <c r="E75" s="8">
        <v>5000</v>
      </c>
    </row>
  </sheetData>
  <mergeCells count="16">
    <mergeCell ref="A1:H1"/>
    <mergeCell ref="A2:H2"/>
    <mergeCell ref="A3:H3"/>
    <mergeCell ref="A5:H5"/>
    <mergeCell ref="A6:H6"/>
    <mergeCell ref="A7:B7"/>
    <mergeCell ref="C7:E7"/>
    <mergeCell ref="F7:G7"/>
    <mergeCell ref="B55:H55"/>
    <mergeCell ref="B56:H56"/>
    <mergeCell ref="B57:H57"/>
    <mergeCell ref="B58:H58"/>
    <mergeCell ref="B59:H59"/>
    <mergeCell ref="B60:H60"/>
    <mergeCell ref="B61:H61"/>
    <mergeCell ref="A72:H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5" width="18" customWidth="1"/>
  </cols>
  <sheetData>
    <row r="1" ht="2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20" customHeight="1" spans="1:5" x14ac:dyDescent="0.25">
      <c r="A3" s="2" t="s">
        <v>2</v>
      </c>
      <c r="B3" s="2"/>
      <c r="C3" s="2"/>
      <c r="D3" s="2"/>
      <c r="E3" s="2"/>
    </row>
    <row r="5" ht="20" customHeight="1" spans="5:5" x14ac:dyDescent="0.25">
      <c r="E5" s="6" t="s">
        <v>117</v>
      </c>
    </row>
    <row r="6" ht="20" customHeight="1" spans="1:5" x14ac:dyDescent="0.25">
      <c r="A6" s="2" t="s">
        <v>118</v>
      </c>
      <c r="B6" s="2"/>
      <c r="C6" s="2"/>
      <c r="D6" s="2"/>
      <c r="E6" s="2"/>
    </row>
    <row r="7" spans="1:5" x14ac:dyDescent="0.25">
      <c r="A7" s="4" t="s">
        <v>9</v>
      </c>
      <c r="B7" s="3" t="s">
        <v>5</v>
      </c>
      <c r="C7" s="4" t="s">
        <v>119</v>
      </c>
      <c r="D7" s="4" t="s">
        <v>120</v>
      </c>
      <c r="E7" s="4" t="s">
        <v>120</v>
      </c>
    </row>
    <row r="8" spans="1:5" x14ac:dyDescent="0.25">
      <c r="A8" s="4" t="s">
        <v>9</v>
      </c>
      <c r="B8" s="3" t="s">
        <v>9</v>
      </c>
      <c r="C8" s="4" t="s">
        <v>21</v>
      </c>
      <c r="D8" s="4" t="s">
        <v>21</v>
      </c>
      <c r="E8" s="4" t="s">
        <v>21</v>
      </c>
    </row>
    <row r="9" spans="1:5" x14ac:dyDescent="0.25">
      <c r="A9" s="6" t="s">
        <v>12</v>
      </c>
      <c r="B9" s="7" t="s">
        <v>121</v>
      </c>
      <c r="C9" s="6" t="s">
        <v>9</v>
      </c>
      <c r="D9" s="6" t="s">
        <v>9</v>
      </c>
      <c r="E9" s="6" t="s">
        <v>9</v>
      </c>
    </row>
    <row r="10" spans="1:5" x14ac:dyDescent="0.25">
      <c r="A10" s="6" t="s">
        <v>122</v>
      </c>
      <c r="B10" s="7" t="s">
        <v>123</v>
      </c>
      <c r="C10" s="6" t="s">
        <v>9</v>
      </c>
      <c r="D10" s="6" t="s">
        <v>9</v>
      </c>
      <c r="E10" s="6" t="s">
        <v>9</v>
      </c>
    </row>
    <row r="11" spans="1:5" x14ac:dyDescent="0.25">
      <c r="A11" s="6" t="s">
        <v>9</v>
      </c>
      <c r="B11" s="7" t="s">
        <v>124</v>
      </c>
      <c r="C11" s="8">
        <v>150000</v>
      </c>
      <c r="D11" s="8">
        <v>150000</v>
      </c>
      <c r="E11" s="8">
        <v>180000</v>
      </c>
    </row>
    <row r="12" spans="1:5" x14ac:dyDescent="0.25">
      <c r="A12" s="6" t="s">
        <v>9</v>
      </c>
      <c r="B12" s="7" t="s">
        <v>125</v>
      </c>
      <c r="C12" s="8">
        <v>0</v>
      </c>
      <c r="D12" s="8">
        <v>0</v>
      </c>
      <c r="E12" s="8">
        <v>0</v>
      </c>
    </row>
    <row r="13" spans="1:5" x14ac:dyDescent="0.25">
      <c r="A13" s="6" t="s">
        <v>9</v>
      </c>
      <c r="B13" s="7" t="s">
        <v>126</v>
      </c>
      <c r="C13" s="8">
        <v>0</v>
      </c>
      <c r="D13" s="8">
        <v>0</v>
      </c>
      <c r="E13" s="8">
        <v>0</v>
      </c>
    </row>
    <row r="14" spans="1:5" x14ac:dyDescent="0.25">
      <c r="A14" s="6" t="s">
        <v>9</v>
      </c>
      <c r="B14" s="7" t="s">
        <v>127</v>
      </c>
      <c r="C14" s="8">
        <v>0</v>
      </c>
      <c r="D14" s="8">
        <v>0</v>
      </c>
      <c r="E14" s="8">
        <v>0</v>
      </c>
    </row>
    <row r="15" spans="1:5" x14ac:dyDescent="0.25">
      <c r="A15" s="6" t="s">
        <v>9</v>
      </c>
      <c r="B15" s="7" t="s">
        <v>128</v>
      </c>
      <c r="C15" s="8">
        <v>0</v>
      </c>
      <c r="D15" s="8">
        <v>0</v>
      </c>
      <c r="E15" s="8">
        <v>0</v>
      </c>
    </row>
    <row r="16" spans="1:5" x14ac:dyDescent="0.25">
      <c r="A16" s="6" t="s">
        <v>9</v>
      </c>
      <c r="B16" s="7" t="s">
        <v>129</v>
      </c>
      <c r="C16" s="8">
        <v>0</v>
      </c>
      <c r="D16" s="8">
        <v>0</v>
      </c>
      <c r="E16" s="8">
        <v>0</v>
      </c>
    </row>
    <row r="17" spans="1:5" x14ac:dyDescent="0.25">
      <c r="A17" s="6" t="s">
        <v>9</v>
      </c>
      <c r="B17" s="7" t="s">
        <v>130</v>
      </c>
      <c r="C17" s="6" t="s">
        <v>9</v>
      </c>
      <c r="D17" s="6" t="s">
        <v>9</v>
      </c>
      <c r="E17" s="6" t="s">
        <v>9</v>
      </c>
    </row>
    <row r="18" spans="1:5" x14ac:dyDescent="0.25">
      <c r="A18" s="6" t="s">
        <v>9</v>
      </c>
      <c r="B18" s="7" t="s">
        <v>131</v>
      </c>
      <c r="C18" s="8">
        <v>10000</v>
      </c>
      <c r="D18" s="8">
        <v>8000</v>
      </c>
      <c r="E18" s="8">
        <v>20000</v>
      </c>
    </row>
    <row r="19" spans="1:5" x14ac:dyDescent="0.25">
      <c r="A19" s="6" t="s">
        <v>9</v>
      </c>
      <c r="B19" s="7" t="s">
        <v>132</v>
      </c>
      <c r="C19" s="8">
        <v>0</v>
      </c>
      <c r="D19" s="8">
        <v>0</v>
      </c>
      <c r="E19" s="8">
        <v>0</v>
      </c>
    </row>
    <row r="20" spans="1:5" x14ac:dyDescent="0.25">
      <c r="A20" s="6" t="s">
        <v>9</v>
      </c>
      <c r="B20" s="7" t="s">
        <v>133</v>
      </c>
      <c r="C20" s="8">
        <v>0</v>
      </c>
      <c r="D20" s="8">
        <v>0</v>
      </c>
      <c r="E20" s="8">
        <v>0</v>
      </c>
    </row>
    <row r="21" spans="1:5" x14ac:dyDescent="0.25">
      <c r="A21" s="6" t="s">
        <v>9</v>
      </c>
      <c r="B21" s="7" t="s">
        <v>134</v>
      </c>
      <c r="C21" s="8">
        <v>0</v>
      </c>
      <c r="D21" s="8">
        <v>0</v>
      </c>
      <c r="E21" s="8">
        <v>0</v>
      </c>
    </row>
    <row r="22" spans="1:5" x14ac:dyDescent="0.25">
      <c r="A22" s="6" t="s">
        <v>9</v>
      </c>
      <c r="B22" s="7" t="s">
        <v>135</v>
      </c>
      <c r="C22" s="8">
        <v>0</v>
      </c>
      <c r="D22" s="8">
        <v>0</v>
      </c>
      <c r="E22" s="8">
        <v>0</v>
      </c>
    </row>
    <row r="23" spans="1:5" x14ac:dyDescent="0.25">
      <c r="A23" s="6" t="s">
        <v>9</v>
      </c>
      <c r="B23" s="7" t="s">
        <v>136</v>
      </c>
      <c r="C23" s="8">
        <v>0</v>
      </c>
      <c r="D23" s="8">
        <v>0</v>
      </c>
      <c r="E23" s="8">
        <v>0</v>
      </c>
    </row>
    <row r="24" spans="1:5" x14ac:dyDescent="0.25">
      <c r="A24" s="6" t="s">
        <v>9</v>
      </c>
      <c r="B24" s="7" t="s">
        <v>137</v>
      </c>
      <c r="C24" s="8">
        <f>SUM(C11:C23)</f>
      </c>
      <c r="D24" s="8">
        <f>SUM(D11:D23)</f>
      </c>
      <c r="E24" s="8">
        <f>SUM(E11:E23)</f>
      </c>
    </row>
    <row r="26" spans="1:5" x14ac:dyDescent="0.25">
      <c r="A26" s="6" t="s">
        <v>138</v>
      </c>
      <c r="B26" s="7" t="s">
        <v>139</v>
      </c>
      <c r="C26" s="6" t="s">
        <v>9</v>
      </c>
      <c r="D26" s="6" t="s">
        <v>9</v>
      </c>
      <c r="E26" s="6" t="s">
        <v>9</v>
      </c>
    </row>
    <row r="27" spans="1:5" x14ac:dyDescent="0.25">
      <c r="A27" s="6" t="s">
        <v>9</v>
      </c>
      <c r="B27" s="7" t="s">
        <v>140</v>
      </c>
      <c r="C27" s="8">
        <v>20000</v>
      </c>
      <c r="D27" s="8">
        <v>15000</v>
      </c>
      <c r="E27" s="8">
        <v>35000</v>
      </c>
    </row>
    <row r="28" spans="1:5" x14ac:dyDescent="0.25">
      <c r="A28" s="6" t="s">
        <v>9</v>
      </c>
      <c r="B28" s="7" t="s">
        <v>141</v>
      </c>
      <c r="C28" s="6" t="s">
        <v>9</v>
      </c>
      <c r="D28" s="6" t="s">
        <v>9</v>
      </c>
      <c r="E28" s="6" t="s">
        <v>9</v>
      </c>
    </row>
    <row r="29" spans="1:5" x14ac:dyDescent="0.25">
      <c r="A29" s="6" t="s">
        <v>9</v>
      </c>
      <c r="B29" s="7" t="s">
        <v>131</v>
      </c>
      <c r="C29" s="8">
        <v>0</v>
      </c>
      <c r="D29" s="8">
        <v>0</v>
      </c>
      <c r="E29" s="8">
        <v>0</v>
      </c>
    </row>
    <row r="30" spans="1:5" x14ac:dyDescent="0.25">
      <c r="A30" s="6" t="s">
        <v>9</v>
      </c>
      <c r="B30" s="7" t="s">
        <v>132</v>
      </c>
      <c r="C30" s="8">
        <v>0</v>
      </c>
      <c r="D30" s="8">
        <v>0</v>
      </c>
      <c r="E30" s="8">
        <v>0</v>
      </c>
    </row>
    <row r="31" spans="1:5" x14ac:dyDescent="0.25">
      <c r="A31" s="6" t="s">
        <v>9</v>
      </c>
      <c r="B31" s="7" t="s">
        <v>142</v>
      </c>
      <c r="C31" s="8">
        <v>0</v>
      </c>
      <c r="D31" s="8">
        <v>0</v>
      </c>
      <c r="E31" s="8">
        <v>0</v>
      </c>
    </row>
    <row r="32" spans="1:5" x14ac:dyDescent="0.25">
      <c r="A32" s="6" t="s">
        <v>9</v>
      </c>
      <c r="B32" s="7" t="s">
        <v>143</v>
      </c>
      <c r="C32" s="8">
        <v>25000</v>
      </c>
      <c r="D32" s="8">
        <v>30000</v>
      </c>
      <c r="E32" s="8">
        <v>50000</v>
      </c>
    </row>
    <row r="33" spans="1:5" x14ac:dyDescent="0.25">
      <c r="A33" s="6" t="s">
        <v>9</v>
      </c>
      <c r="B33" s="7" t="s">
        <v>144</v>
      </c>
      <c r="C33" s="8">
        <v>0</v>
      </c>
      <c r="D33" s="8">
        <v>0</v>
      </c>
      <c r="E33" s="8">
        <v>0</v>
      </c>
    </row>
    <row r="34" spans="1:5" x14ac:dyDescent="0.25">
      <c r="A34" s="6" t="s">
        <v>9</v>
      </c>
      <c r="B34" s="7" t="s">
        <v>145</v>
      </c>
      <c r="C34" s="8">
        <v>0</v>
      </c>
      <c r="D34" s="8">
        <v>0</v>
      </c>
      <c r="E34" s="8">
        <v>0</v>
      </c>
    </row>
    <row r="35" spans="1:5" x14ac:dyDescent="0.25">
      <c r="A35" s="6" t="s">
        <v>9</v>
      </c>
      <c r="B35" s="7" t="s">
        <v>146</v>
      </c>
      <c r="C35" s="8">
        <v>0</v>
      </c>
      <c r="D35" s="8">
        <v>0</v>
      </c>
      <c r="E35" s="8">
        <v>0</v>
      </c>
    </row>
    <row r="36" spans="1:5" x14ac:dyDescent="0.25">
      <c r="A36" s="6" t="s">
        <v>9</v>
      </c>
      <c r="B36" s="7" t="s">
        <v>147</v>
      </c>
      <c r="C36" s="8">
        <f>SUM(C27:C35)</f>
      </c>
      <c r="D36" s="8">
        <f>SUM(D27:D35)</f>
      </c>
      <c r="E36" s="8">
        <f>SUM(E27:E35)</f>
      </c>
    </row>
    <row r="37" spans="1:5" x14ac:dyDescent="0.25">
      <c r="A37" s="6" t="s">
        <v>9</v>
      </c>
      <c r="B37" s="7" t="s">
        <v>148</v>
      </c>
      <c r="C37" s="8">
        <f>C24+C36</f>
      </c>
      <c r="D37" s="8">
        <f>D24+D36</f>
      </c>
      <c r="E37" s="8">
        <f>E24+E36</f>
      </c>
    </row>
    <row r="39" spans="1:5" x14ac:dyDescent="0.25">
      <c r="A39" s="6" t="s">
        <v>17</v>
      </c>
      <c r="B39" s="7" t="s">
        <v>149</v>
      </c>
      <c r="C39" s="6" t="s">
        <v>9</v>
      </c>
      <c r="D39" s="6" t="s">
        <v>9</v>
      </c>
      <c r="E39" s="6" t="s">
        <v>9</v>
      </c>
    </row>
    <row r="40" spans="1:5" x14ac:dyDescent="0.25">
      <c r="A40" s="6" t="s">
        <v>9</v>
      </c>
      <c r="B40" s="7" t="s">
        <v>150</v>
      </c>
      <c r="C40" s="6" t="s">
        <v>9</v>
      </c>
      <c r="D40" s="6" t="s">
        <v>9</v>
      </c>
      <c r="E40" s="6" t="s">
        <v>9</v>
      </c>
    </row>
    <row r="41" spans="1:5" x14ac:dyDescent="0.25">
      <c r="A41" s="6" t="s">
        <v>9</v>
      </c>
      <c r="B41" s="7" t="s">
        <v>151</v>
      </c>
      <c r="C41" s="8">
        <v>100000</v>
      </c>
      <c r="D41" s="8">
        <v>100000</v>
      </c>
      <c r="E41" s="8">
        <v>100000</v>
      </c>
    </row>
    <row r="42" spans="1:5" x14ac:dyDescent="0.25">
      <c r="A42" s="6" t="s">
        <v>9</v>
      </c>
      <c r="B42" s="7" t="s">
        <v>152</v>
      </c>
      <c r="C42" s="8">
        <v>50000</v>
      </c>
      <c r="D42" s="8">
        <v>5000</v>
      </c>
      <c r="E42" s="8">
        <v>50000</v>
      </c>
    </row>
    <row r="43" spans="1:5" x14ac:dyDescent="0.25">
      <c r="A43" s="6" t="s">
        <v>9</v>
      </c>
      <c r="B43" s="7" t="s">
        <v>153</v>
      </c>
      <c r="C43" s="8">
        <f>SUM(C41:C42)</f>
      </c>
      <c r="D43" s="8">
        <f>SUM(D41:D42)</f>
      </c>
      <c r="E43" s="8">
        <f>SUM(E41:E42)</f>
      </c>
    </row>
    <row r="45" spans="1:5" x14ac:dyDescent="0.25">
      <c r="A45" s="6" t="s">
        <v>9</v>
      </c>
      <c r="B45" s="7" t="s">
        <v>154</v>
      </c>
      <c r="C45" s="6" t="s">
        <v>9</v>
      </c>
      <c r="D45" s="6" t="s">
        <v>9</v>
      </c>
      <c r="E45" s="6" t="s">
        <v>9</v>
      </c>
    </row>
    <row r="46" spans="1:5" x14ac:dyDescent="0.25">
      <c r="A46" s="6" t="s">
        <v>9</v>
      </c>
      <c r="B46" s="7" t="s">
        <v>155</v>
      </c>
      <c r="C46" s="6" t="s">
        <v>9</v>
      </c>
      <c r="D46" s="6" t="s">
        <v>9</v>
      </c>
      <c r="E46" s="6" t="s">
        <v>9</v>
      </c>
    </row>
    <row r="47" spans="1:5" x14ac:dyDescent="0.25">
      <c r="A47" s="6" t="s">
        <v>9</v>
      </c>
      <c r="B47" s="7" t="s">
        <v>156</v>
      </c>
      <c r="C47" s="6" t="s">
        <v>9</v>
      </c>
      <c r="D47" s="6" t="s">
        <v>9</v>
      </c>
      <c r="E47" s="6" t="s">
        <v>9</v>
      </c>
    </row>
    <row r="48" spans="1:5" x14ac:dyDescent="0.25">
      <c r="A48" s="6" t="s">
        <v>9</v>
      </c>
      <c r="B48" s="7" t="s">
        <v>157</v>
      </c>
      <c r="C48" s="8">
        <v>0</v>
      </c>
      <c r="D48" s="8">
        <v>0</v>
      </c>
      <c r="E48" s="8">
        <v>0</v>
      </c>
    </row>
    <row r="49" spans="1:5" x14ac:dyDescent="0.25">
      <c r="A49" s="6" t="s">
        <v>9</v>
      </c>
      <c r="B49" s="7" t="s">
        <v>158</v>
      </c>
      <c r="C49" s="8">
        <v>0</v>
      </c>
      <c r="D49" s="8">
        <v>0</v>
      </c>
      <c r="E49" s="8">
        <v>0</v>
      </c>
    </row>
    <row r="50" spans="1:5" x14ac:dyDescent="0.25">
      <c r="A50" s="6" t="s">
        <v>9</v>
      </c>
      <c r="B50" s="7" t="s">
        <v>159</v>
      </c>
      <c r="C50" s="8">
        <v>0</v>
      </c>
      <c r="D50" s="8">
        <v>0</v>
      </c>
      <c r="E50" s="8">
        <v>0</v>
      </c>
    </row>
    <row r="51" spans="1:5" x14ac:dyDescent="0.25">
      <c r="A51" s="6" t="s">
        <v>9</v>
      </c>
      <c r="B51" s="7" t="s">
        <v>160</v>
      </c>
      <c r="C51" s="8">
        <v>0</v>
      </c>
      <c r="D51" s="8">
        <v>0</v>
      </c>
      <c r="E51" s="8">
        <v>0</v>
      </c>
    </row>
    <row r="52" spans="1:5" x14ac:dyDescent="0.25">
      <c r="A52" s="6" t="s">
        <v>9</v>
      </c>
      <c r="B52" s="7" t="s">
        <v>161</v>
      </c>
      <c r="C52" s="8">
        <v>0</v>
      </c>
      <c r="D52" s="8">
        <v>0</v>
      </c>
      <c r="E52" s="8">
        <v>0</v>
      </c>
    </row>
    <row r="53" spans="1:5" x14ac:dyDescent="0.25">
      <c r="A53" s="6" t="s">
        <v>9</v>
      </c>
      <c r="B53" s="7" t="s">
        <v>162</v>
      </c>
      <c r="C53" s="8">
        <v>0</v>
      </c>
      <c r="D53" s="8">
        <v>0</v>
      </c>
      <c r="E53" s="8">
        <v>0</v>
      </c>
    </row>
    <row r="54" spans="1:5" x14ac:dyDescent="0.25">
      <c r="A54" s="6" t="s">
        <v>9</v>
      </c>
      <c r="B54" s="7" t="s">
        <v>163</v>
      </c>
      <c r="C54" s="8">
        <f>SUM(C47:C53)</f>
      </c>
      <c r="D54" s="8">
        <f>SUM(D47:D53)</f>
      </c>
      <c r="E54" s="8">
        <f>SUM(E47:E53)</f>
      </c>
    </row>
    <row r="56" spans="1:5" x14ac:dyDescent="0.25">
      <c r="A56" s="6" t="s">
        <v>9</v>
      </c>
      <c r="B56" s="7" t="s">
        <v>164</v>
      </c>
      <c r="C56" s="6" t="s">
        <v>9</v>
      </c>
      <c r="D56" s="6" t="s">
        <v>9</v>
      </c>
      <c r="E56" s="6" t="s">
        <v>9</v>
      </c>
    </row>
    <row r="57" spans="1:5" x14ac:dyDescent="0.25">
      <c r="A57" s="6" t="s">
        <v>9</v>
      </c>
      <c r="B57" s="7" t="s">
        <v>156</v>
      </c>
      <c r="C57" s="6" t="s">
        <v>9</v>
      </c>
      <c r="D57" s="6" t="s">
        <v>9</v>
      </c>
      <c r="E57" s="6" t="s">
        <v>9</v>
      </c>
    </row>
    <row r="58" spans="1:5" x14ac:dyDescent="0.25">
      <c r="A58" s="6" t="s">
        <v>9</v>
      </c>
      <c r="B58" s="7" t="s">
        <v>157</v>
      </c>
      <c r="C58" s="8">
        <v>20000</v>
      </c>
      <c r="D58" s="8">
        <v>15000</v>
      </c>
      <c r="E58" s="8">
        <v>25000</v>
      </c>
    </row>
    <row r="59" spans="1:5" x14ac:dyDescent="0.25">
      <c r="A59" s="6" t="s">
        <v>9</v>
      </c>
      <c r="B59" s="7" t="s">
        <v>165</v>
      </c>
      <c r="C59" s="6" t="s">
        <v>9</v>
      </c>
      <c r="D59" s="6" t="s">
        <v>9</v>
      </c>
      <c r="E59" s="6" t="s">
        <v>9</v>
      </c>
    </row>
    <row r="60" spans="1:5" x14ac:dyDescent="0.25">
      <c r="A60" s="6" t="s">
        <v>9</v>
      </c>
      <c r="B60" s="7" t="s">
        <v>166</v>
      </c>
      <c r="C60" s="8">
        <v>0</v>
      </c>
      <c r="D60" s="8">
        <v>0</v>
      </c>
      <c r="E60" s="8">
        <v>0</v>
      </c>
    </row>
    <row r="61" spans="1:5" x14ac:dyDescent="0.25">
      <c r="A61" s="6" t="s">
        <v>9</v>
      </c>
      <c r="B61" s="7" t="s">
        <v>167</v>
      </c>
      <c r="C61" s="8">
        <v>35000</v>
      </c>
      <c r="D61" s="8">
        <v>25000</v>
      </c>
      <c r="E61" s="8">
        <v>45000</v>
      </c>
    </row>
    <row r="62" spans="1:5" x14ac:dyDescent="0.25">
      <c r="A62" s="6" t="s">
        <v>9</v>
      </c>
      <c r="B62" s="7" t="s">
        <v>168</v>
      </c>
      <c r="C62" s="8">
        <v>0</v>
      </c>
      <c r="D62" s="8">
        <v>0</v>
      </c>
      <c r="E62" s="8">
        <v>0</v>
      </c>
    </row>
    <row r="63" spans="1:5" x14ac:dyDescent="0.25">
      <c r="A63" s="6" t="s">
        <v>9</v>
      </c>
      <c r="B63" s="7" t="s">
        <v>169</v>
      </c>
      <c r="C63" s="8">
        <v>0</v>
      </c>
      <c r="D63" s="8">
        <v>0</v>
      </c>
      <c r="E63" s="8">
        <v>0</v>
      </c>
    </row>
    <row r="64" spans="1:5" x14ac:dyDescent="0.25">
      <c r="A64" s="6" t="s">
        <v>9</v>
      </c>
      <c r="B64" s="7" t="s">
        <v>170</v>
      </c>
      <c r="C64" s="8">
        <v>0</v>
      </c>
      <c r="D64" s="8">
        <v>0</v>
      </c>
      <c r="E64" s="8">
        <v>0</v>
      </c>
    </row>
    <row r="65" spans="1:5" x14ac:dyDescent="0.25">
      <c r="A65" s="6" t="s">
        <v>9</v>
      </c>
      <c r="B65" s="7" t="s">
        <v>171</v>
      </c>
      <c r="C65" s="8">
        <v>0</v>
      </c>
      <c r="D65" s="8">
        <v>0</v>
      </c>
      <c r="E65" s="8">
        <v>0</v>
      </c>
    </row>
    <row r="66" spans="1:5" x14ac:dyDescent="0.25">
      <c r="A66" s="6" t="s">
        <v>9</v>
      </c>
      <c r="B66" s="7" t="s">
        <v>172</v>
      </c>
      <c r="C66" s="8">
        <f>SUM(C57:C65)</f>
      </c>
      <c r="D66" s="8">
        <f>SUM(D57:D65)</f>
      </c>
      <c r="E66" s="8">
        <f>SUM(E57:E65)</f>
      </c>
    </row>
    <row r="67" spans="1:5" x14ac:dyDescent="0.25">
      <c r="A67" s="6" t="s">
        <v>9</v>
      </c>
      <c r="B67" s="7" t="s">
        <v>173</v>
      </c>
      <c r="C67" s="8">
        <f>C43+C54+C66</f>
      </c>
      <c r="D67" s="8">
        <f>D43+D54+D66</f>
      </c>
      <c r="E67" s="8">
        <f>E43+E54+E66</f>
      </c>
    </row>
    <row r="68" spans="1:5" x14ac:dyDescent="0.25">
      <c r="A68" s="6" t="s">
        <v>9</v>
      </c>
      <c r="B68" s="7" t="s">
        <v>174</v>
      </c>
      <c r="C68" s="8">
        <f>C67-C37</f>
      </c>
      <c r="D68" s="8">
        <f>D67-D37</f>
      </c>
      <c r="E68" s="8">
        <f>E67-E37</f>
      </c>
    </row>
    <row r="70" spans="1:5" s="9" customFormat="1" x14ac:dyDescent="0.25">
      <c r="A70" s="4" t="s">
        <v>109</v>
      </c>
      <c r="B70" s="4"/>
      <c r="C70" s="4"/>
      <c r="D70" s="4"/>
      <c r="E70" s="4"/>
    </row>
    <row r="71" spans="1:5" x14ac:dyDescent="0.25">
      <c r="A71" s="4" t="s">
        <v>110</v>
      </c>
      <c r="B71" s="3" t="s">
        <v>111</v>
      </c>
      <c r="C71" s="4" t="s">
        <v>112</v>
      </c>
      <c r="D71" s="4" t="s">
        <v>113</v>
      </c>
      <c r="E71" s="4" t="s">
        <v>114</v>
      </c>
    </row>
    <row r="72" spans="1:5" x14ac:dyDescent="0.25">
      <c r="A72" s="6" t="s">
        <v>115</v>
      </c>
      <c r="B72" s="7" t="s">
        <v>42</v>
      </c>
      <c r="C72" s="8">
        <v>5000</v>
      </c>
      <c r="D72" s="8">
        <v>0</v>
      </c>
      <c r="E72" s="8">
        <v>5000</v>
      </c>
    </row>
    <row r="73" spans="1:5" x14ac:dyDescent="0.25">
      <c r="A73" s="6" t="s">
        <v>115</v>
      </c>
      <c r="B73" s="7" t="s">
        <v>116</v>
      </c>
      <c r="C73" s="8">
        <v>5000</v>
      </c>
      <c r="D73" s="8">
        <v>0</v>
      </c>
      <c r="E73" s="8">
        <v>5000</v>
      </c>
    </row>
  </sheetData>
  <mergeCells count="5">
    <mergeCell ref="A1:E1"/>
    <mergeCell ref="A2:E2"/>
    <mergeCell ref="A3:E3"/>
    <mergeCell ref="A6:E6"/>
    <mergeCell ref="A70:E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8" customWidth="1"/>
    <col min="3" max="8" width="15" customWidth="1"/>
  </cols>
  <sheetData>
    <row r="2" ht="20" customHeight="1" spans="1:6" x14ac:dyDescent="0.25">
      <c r="A2" s="1" t="s">
        <v>175</v>
      </c>
      <c r="B2" s="1"/>
      <c r="C2" s="1"/>
      <c r="D2" s="1"/>
      <c r="E2" s="1"/>
      <c r="F2" s="1"/>
    </row>
    <row r="4" ht="20" customHeight="1" spans="1:6" x14ac:dyDescent="0.25">
      <c r="A4" s="2" t="s">
        <v>117</v>
      </c>
      <c r="B4" s="2"/>
      <c r="C4" s="2"/>
      <c r="D4" s="2"/>
      <c r="E4" s="2"/>
      <c r="F4" s="2"/>
    </row>
    <row r="5" ht="20" customHeight="1" spans="1:6" x14ac:dyDescent="0.25">
      <c r="A5" s="6" t="s">
        <v>5</v>
      </c>
      <c r="B5" s="7" t="s">
        <v>9</v>
      </c>
      <c r="C5" s="6" t="s">
        <v>6</v>
      </c>
      <c r="D5" s="6" t="s">
        <v>9</v>
      </c>
      <c r="E5" s="6" t="s">
        <v>9</v>
      </c>
      <c r="F5" s="6" t="s">
        <v>176</v>
      </c>
    </row>
    <row r="6" ht="20" customHeight="1" spans="1:6" x14ac:dyDescent="0.25">
      <c r="A6" s="6" t="s">
        <v>9</v>
      </c>
      <c r="B6" s="7" t="s">
        <v>9</v>
      </c>
      <c r="C6" s="6" t="s">
        <v>10</v>
      </c>
      <c r="D6" s="6" t="s">
        <v>9</v>
      </c>
      <c r="E6" s="6" t="s">
        <v>9</v>
      </c>
      <c r="F6" s="6" t="s">
        <v>10</v>
      </c>
    </row>
    <row r="7" spans="1:6" x14ac:dyDescent="0.25">
      <c r="A7" s="4" t="s">
        <v>12</v>
      </c>
      <c r="B7" s="3" t="s">
        <v>177</v>
      </c>
      <c r="C7" s="4" t="s">
        <v>14</v>
      </c>
      <c r="D7" s="4" t="s">
        <v>9</v>
      </c>
      <c r="E7" s="4" t="s">
        <v>9</v>
      </c>
      <c r="F7" s="4" t="s">
        <v>14</v>
      </c>
    </row>
    <row r="8" spans="1:6" x14ac:dyDescent="0.25">
      <c r="A8" s="4" t="s">
        <v>17</v>
      </c>
      <c r="B8" s="3" t="s">
        <v>178</v>
      </c>
      <c r="C8" s="4" t="s">
        <v>10</v>
      </c>
      <c r="D8" s="4" t="s">
        <v>9</v>
      </c>
      <c r="E8" s="4" t="s">
        <v>9</v>
      </c>
      <c r="F8" s="4" t="s">
        <v>10</v>
      </c>
    </row>
    <row r="9" spans="1:6" x14ac:dyDescent="0.25">
      <c r="A9" s="6" t="s">
        <v>19</v>
      </c>
      <c r="B9" s="7" t="s">
        <v>20</v>
      </c>
      <c r="C9" s="6" t="s">
        <v>21</v>
      </c>
      <c r="D9" s="6" t="s">
        <v>9</v>
      </c>
      <c r="E9" s="6" t="s">
        <v>9</v>
      </c>
      <c r="F9" s="6" t="s">
        <v>21</v>
      </c>
    </row>
    <row r="10" spans="1:6" x14ac:dyDescent="0.25">
      <c r="A10" s="6" t="s">
        <v>22</v>
      </c>
      <c r="B10" s="7" t="s">
        <v>23</v>
      </c>
      <c r="C10" s="6" t="s">
        <v>179</v>
      </c>
      <c r="D10" s="6" t="s">
        <v>9</v>
      </c>
      <c r="E10" s="6" t="s">
        <v>9</v>
      </c>
      <c r="F10" s="6" t="s">
        <v>180</v>
      </c>
    </row>
    <row r="12" spans="1:5" x14ac:dyDescent="0.25">
      <c r="A12" s="6" t="s">
        <v>122</v>
      </c>
      <c r="B12" s="7" t="s">
        <v>181</v>
      </c>
      <c r="C12" s="6" t="s">
        <v>9</v>
      </c>
      <c r="D12" s="6" t="s">
        <v>9</v>
      </c>
      <c r="E12" s="6" t="s">
        <v>9</v>
      </c>
    </row>
    <row r="13" spans="1:5" x14ac:dyDescent="0.25">
      <c r="A13" s="6" t="s">
        <v>9</v>
      </c>
      <c r="B13" s="7" t="s">
        <v>182</v>
      </c>
      <c r="C13" s="8">
        <v>0</v>
      </c>
      <c r="D13" s="6" t="s">
        <v>9</v>
      </c>
      <c r="E13" s="6" t="s">
        <v>9</v>
      </c>
    </row>
    <row r="14" spans="1:5" x14ac:dyDescent="0.25">
      <c r="A14" s="6" t="s">
        <v>9</v>
      </c>
      <c r="B14" s="7" t="s">
        <v>183</v>
      </c>
      <c r="C14" s="8">
        <f>C13</f>
      </c>
      <c r="D14" s="8">
        <f>D13</f>
      </c>
      <c r="E14" s="8">
        <f>E13</f>
      </c>
    </row>
    <row r="16" spans="1:5" x14ac:dyDescent="0.25">
      <c r="A16" s="6" t="s">
        <v>138</v>
      </c>
      <c r="B16" s="7" t="s">
        <v>184</v>
      </c>
      <c r="C16" s="6" t="s">
        <v>9</v>
      </c>
      <c r="D16" s="6" t="s">
        <v>9</v>
      </c>
      <c r="E16" s="6" t="s">
        <v>9</v>
      </c>
    </row>
    <row r="17" spans="1:5" x14ac:dyDescent="0.25">
      <c r="A17" s="6" t="s">
        <v>9</v>
      </c>
      <c r="B17" s="7" t="s">
        <v>182</v>
      </c>
      <c r="C17" s="8">
        <v>0</v>
      </c>
      <c r="D17" s="6" t="s">
        <v>9</v>
      </c>
      <c r="E17" s="6" t="s">
        <v>9</v>
      </c>
    </row>
    <row r="18" spans="1:5" x14ac:dyDescent="0.25">
      <c r="A18" s="6" t="s">
        <v>9</v>
      </c>
      <c r="B18" s="7" t="s">
        <v>185</v>
      </c>
      <c r="C18" s="8">
        <f>C17</f>
      </c>
      <c r="D18" s="8">
        <f>D17</f>
      </c>
      <c r="E18" s="8">
        <f>E17</f>
      </c>
    </row>
    <row r="20" spans="1:5" x14ac:dyDescent="0.25">
      <c r="A20" s="6" t="s">
        <v>186</v>
      </c>
      <c r="B20" s="7" t="s">
        <v>187</v>
      </c>
      <c r="C20" s="6" t="s">
        <v>9</v>
      </c>
      <c r="D20" s="6" t="s">
        <v>9</v>
      </c>
      <c r="E20" s="6" t="s">
        <v>9</v>
      </c>
    </row>
    <row r="21" spans="1:5" x14ac:dyDescent="0.25">
      <c r="A21" s="6" t="s">
        <v>9</v>
      </c>
      <c r="B21" s="7" t="s">
        <v>188</v>
      </c>
      <c r="C21" s="8">
        <v>0</v>
      </c>
      <c r="D21" s="6" t="s">
        <v>9</v>
      </c>
      <c r="E21" s="6" t="s">
        <v>9</v>
      </c>
    </row>
    <row r="22" spans="1:5" x14ac:dyDescent="0.25">
      <c r="A22" s="6" t="s">
        <v>9</v>
      </c>
      <c r="B22" s="7" t="s">
        <v>189</v>
      </c>
      <c r="C22" s="8">
        <f>C21</f>
      </c>
      <c r="D22" s="8">
        <f>D21</f>
      </c>
      <c r="E22" s="8">
        <f>E21</f>
      </c>
    </row>
    <row r="24" spans="1:5" x14ac:dyDescent="0.25">
      <c r="A24" s="6" t="s">
        <v>190</v>
      </c>
      <c r="B24" s="7" t="s">
        <v>191</v>
      </c>
      <c r="C24" s="6" t="s">
        <v>9</v>
      </c>
      <c r="D24" s="6" t="s">
        <v>9</v>
      </c>
      <c r="E24" s="6" t="s">
        <v>9</v>
      </c>
    </row>
    <row r="25" spans="1:5" x14ac:dyDescent="0.25">
      <c r="A25" s="6" t="s">
        <v>9</v>
      </c>
      <c r="B25" s="7" t="s">
        <v>188</v>
      </c>
      <c r="C25" s="8">
        <v>0</v>
      </c>
      <c r="D25" s="6" t="s">
        <v>9</v>
      </c>
      <c r="E25" s="6" t="s">
        <v>9</v>
      </c>
    </row>
    <row r="26" spans="1:5" x14ac:dyDescent="0.25">
      <c r="A26" s="6" t="s">
        <v>9</v>
      </c>
      <c r="B26" s="7" t="s">
        <v>192</v>
      </c>
      <c r="C26" s="8">
        <f>C25</f>
      </c>
      <c r="D26" s="8">
        <f>D25</f>
      </c>
      <c r="E26" s="8">
        <f>E25</f>
      </c>
    </row>
  </sheetData>
  <mergeCells count="2">
    <mergeCell ref="A2:F2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3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193</v>
      </c>
    </row>
    <row r="5" ht="20" customHeight="1" spans="1:1" x14ac:dyDescent="0.25">
      <c r="A5" s="6" t="s">
        <v>194</v>
      </c>
    </row>
    <row r="7" spans="1:3" x14ac:dyDescent="0.25">
      <c r="A7" s="6" t="s">
        <v>9</v>
      </c>
      <c r="B7" s="7" t="s">
        <v>5</v>
      </c>
      <c r="C7" s="6" t="s">
        <v>195</v>
      </c>
    </row>
    <row r="8" spans="1:3" x14ac:dyDescent="0.25">
      <c r="A8" s="6" t="s">
        <v>12</v>
      </c>
      <c r="B8" s="7" t="s">
        <v>196</v>
      </c>
      <c r="C8" s="6" t="s">
        <v>9</v>
      </c>
    </row>
    <row r="9" spans="1:3" x14ac:dyDescent="0.25">
      <c r="A9" s="6" t="s">
        <v>9</v>
      </c>
      <c r="B9" s="7" t="s">
        <v>197</v>
      </c>
      <c r="C9" s="8">
        <v>9500</v>
      </c>
    </row>
    <row r="10" spans="1:3" x14ac:dyDescent="0.25">
      <c r="A10" s="6" t="s">
        <v>9</v>
      </c>
      <c r="B10" s="7" t="s">
        <v>198</v>
      </c>
      <c r="C10" s="8">
        <v>3000</v>
      </c>
    </row>
    <row r="11" spans="1:3" x14ac:dyDescent="0.25">
      <c r="A11" s="6" t="s">
        <v>9</v>
      </c>
      <c r="B11" s="7" t="s">
        <v>199</v>
      </c>
      <c r="C11" s="8">
        <v>0</v>
      </c>
    </row>
    <row r="12" spans="1:3" x14ac:dyDescent="0.25">
      <c r="A12" s="6" t="s">
        <v>9</v>
      </c>
      <c r="B12" s="7" t="s">
        <v>200</v>
      </c>
      <c r="C12" s="8">
        <v>12500</v>
      </c>
    </row>
    <row r="13" spans="1:3" x14ac:dyDescent="0.25">
      <c r="A13" s="6" t="s">
        <v>17</v>
      </c>
      <c r="B13" s="7" t="s">
        <v>201</v>
      </c>
      <c r="C13" s="6" t="s">
        <v>9</v>
      </c>
    </row>
    <row r="14" spans="1:3" x14ac:dyDescent="0.25">
      <c r="A14" s="6" t="s">
        <v>9</v>
      </c>
      <c r="B14" s="7" t="s">
        <v>202</v>
      </c>
      <c r="C14" s="8">
        <v>-150000</v>
      </c>
    </row>
    <row r="15" spans="1:3" x14ac:dyDescent="0.25">
      <c r="A15" s="6" t="s">
        <v>19</v>
      </c>
      <c r="B15" s="7" t="s">
        <v>203</v>
      </c>
      <c r="C15" s="6" t="s">
        <v>9</v>
      </c>
    </row>
    <row r="16" spans="1:3" x14ac:dyDescent="0.25">
      <c r="A16" s="6" t="s">
        <v>9</v>
      </c>
      <c r="B16" s="7" t="s">
        <v>204</v>
      </c>
      <c r="C16" s="8">
        <v>20000</v>
      </c>
    </row>
    <row r="17" spans="1:3" x14ac:dyDescent="0.25">
      <c r="A17" s="6" t="s">
        <v>9</v>
      </c>
      <c r="B17" s="7" t="s">
        <v>205</v>
      </c>
      <c r="C17" s="8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206</v>
      </c>
    </row>
    <row r="5" ht="20" customHeight="1" spans="1:1" x14ac:dyDescent="0.25">
      <c r="A5" s="6" t="s">
        <v>194</v>
      </c>
    </row>
    <row r="7" spans="1:4" x14ac:dyDescent="0.25">
      <c r="A7" s="6" t="s">
        <v>5</v>
      </c>
      <c r="B7" s="7" t="s">
        <v>207</v>
      </c>
      <c r="C7" s="6" t="s">
        <v>208</v>
      </c>
      <c r="D7" s="6" t="s">
        <v>209</v>
      </c>
    </row>
    <row r="8" spans="1:4" x14ac:dyDescent="0.25">
      <c r="A8" s="6" t="s">
        <v>210</v>
      </c>
      <c r="B8" s="7" t="s">
        <v>9</v>
      </c>
      <c r="C8" s="6" t="s">
        <v>9</v>
      </c>
      <c r="D8" s="6" t="s">
        <v>9</v>
      </c>
    </row>
    <row r="9" spans="1:4" x14ac:dyDescent="0.25">
      <c r="A9" s="6" t="s">
        <v>211</v>
      </c>
      <c r="B9" s="8">
        <v>100000</v>
      </c>
      <c r="C9" s="8">
        <v>50000</v>
      </c>
      <c r="D9" s="8">
        <v>150000</v>
      </c>
    </row>
    <row r="10" spans="1:4" x14ac:dyDescent="0.25">
      <c r="A10" s="6" t="s">
        <v>212</v>
      </c>
      <c r="B10" s="8">
        <v>100000</v>
      </c>
      <c r="C10" s="8">
        <v>50000</v>
      </c>
      <c r="D10" s="8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6" customWidth="1"/>
  </cols>
  <sheetData>
    <row r="1" ht="20" customHeight="1" spans="1:1" x14ac:dyDescent="0.25">
      <c r="A1" s="6" t="s">
        <v>0</v>
      </c>
    </row>
    <row r="2" ht="20" customHeight="1" spans="1:1" x14ac:dyDescent="0.25">
      <c r="A2" s="6" t="s">
        <v>1</v>
      </c>
    </row>
    <row r="3" ht="20" customHeight="1" spans="1:1" x14ac:dyDescent="0.25">
      <c r="A3" s="6" t="s">
        <v>2</v>
      </c>
    </row>
    <row r="4" ht="20" customHeight="1" spans="1:1" x14ac:dyDescent="0.25">
      <c r="A4" s="6" t="s">
        <v>213</v>
      </c>
    </row>
    <row r="5" ht="20" customHeight="1" spans="1:1" x14ac:dyDescent="0.25">
      <c r="A5" s="6" t="s">
        <v>194</v>
      </c>
    </row>
    <row r="7" spans="1:2" x14ac:dyDescent="0.25">
      <c r="A7" s="6" t="s">
        <v>122</v>
      </c>
      <c r="B7" s="7" t="s">
        <v>214</v>
      </c>
    </row>
    <row r="8" spans="1:2" x14ac:dyDescent="0.25">
      <c r="A8" s="6" t="s">
        <v>138</v>
      </c>
      <c r="B8" s="7" t="s">
        <v>215</v>
      </c>
    </row>
    <row r="9" spans="1:2" x14ac:dyDescent="0.25">
      <c r="A9" s="6" t="s">
        <v>186</v>
      </c>
      <c r="B9" s="7" t="s">
        <v>216</v>
      </c>
    </row>
    <row r="10" spans="1:2" x14ac:dyDescent="0.25">
      <c r="A10" s="6" t="s">
        <v>190</v>
      </c>
      <c r="B10" s="7" t="s">
        <v>217</v>
      </c>
    </row>
    <row r="11" spans="1:2" x14ac:dyDescent="0.25">
      <c r="A11" s="6" t="s">
        <v>218</v>
      </c>
      <c r="B11" s="7" t="s">
        <v>219</v>
      </c>
    </row>
    <row r="12" spans="1:2" x14ac:dyDescent="0.25">
      <c r="A12" s="6" t="s">
        <v>220</v>
      </c>
      <c r="B12" s="7" t="s">
        <v>221</v>
      </c>
    </row>
    <row r="13" spans="1:2" x14ac:dyDescent="0.25">
      <c r="A13" s="6" t="s">
        <v>222</v>
      </c>
      <c r="B13" s="7" t="s">
        <v>223</v>
      </c>
    </row>
    <row r="14" spans="1:2" x14ac:dyDescent="0.25">
      <c r="A14" s="6" t="s">
        <v>224</v>
      </c>
      <c r="B14" s="7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6" customWidth="1"/>
  </cols>
  <sheetData>
    <row r="1" ht="20" customHeight="1" spans="1:5" x14ac:dyDescent="0.25">
      <c r="A1" s="6" t="s">
        <v>111</v>
      </c>
      <c r="B1" s="7" t="s">
        <v>226</v>
      </c>
      <c r="C1" s="6" t="s">
        <v>227</v>
      </c>
      <c r="D1" s="6" t="s">
        <v>228</v>
      </c>
      <c r="E1" s="6" t="s">
        <v>229</v>
      </c>
    </row>
    <row r="2" ht="20" customHeight="1" spans="1:5" x14ac:dyDescent="0.25">
      <c r="A2" s="6" t="s">
        <v>207</v>
      </c>
      <c r="B2" s="7" t="s">
        <v>207</v>
      </c>
      <c r="C2" s="6" t="s">
        <v>230</v>
      </c>
      <c r="D2" s="6" t="s">
        <v>231</v>
      </c>
      <c r="E2" s="6" t="s">
        <v>232</v>
      </c>
    </row>
    <row r="3" ht="20" customHeight="1" spans="1:5" x14ac:dyDescent="0.25">
      <c r="A3" s="6" t="s">
        <v>208</v>
      </c>
      <c r="B3" s="7" t="s">
        <v>208</v>
      </c>
      <c r="C3" s="6" t="s">
        <v>230</v>
      </c>
      <c r="D3" s="6" t="s">
        <v>233</v>
      </c>
      <c r="E3" s="6" t="s">
        <v>232</v>
      </c>
    </row>
    <row r="4" ht="20" customHeight="1" spans="1:5" x14ac:dyDescent="0.25">
      <c r="A4" s="6" t="s">
        <v>234</v>
      </c>
      <c r="B4" s="7" t="s">
        <v>234</v>
      </c>
      <c r="C4" s="6" t="s">
        <v>230</v>
      </c>
      <c r="D4" s="6" t="s">
        <v>235</v>
      </c>
      <c r="E4" s="6" t="s">
        <v>232</v>
      </c>
    </row>
    <row r="5" ht="20" customHeight="1" spans="1:5" x14ac:dyDescent="0.25">
      <c r="A5" s="6" t="s">
        <v>236</v>
      </c>
      <c r="B5" s="7" t="s">
        <v>236</v>
      </c>
      <c r="C5" s="6" t="s">
        <v>230</v>
      </c>
      <c r="D5" s="6" t="s">
        <v>237</v>
      </c>
      <c r="E5" s="6" t="s">
        <v>232</v>
      </c>
    </row>
    <row r="6" ht="20" customHeight="1" spans="1:5" x14ac:dyDescent="0.25">
      <c r="A6" s="6" t="s">
        <v>238</v>
      </c>
      <c r="B6" s="7" t="s">
        <v>234</v>
      </c>
      <c r="C6" s="6" t="s">
        <v>230</v>
      </c>
      <c r="D6" s="6" t="s">
        <v>235</v>
      </c>
      <c r="E6" s="6" t="s">
        <v>232</v>
      </c>
    </row>
    <row r="7" spans="1:5" x14ac:dyDescent="0.25">
      <c r="A7" s="6" t="s">
        <v>239</v>
      </c>
      <c r="B7" s="7" t="s">
        <v>240</v>
      </c>
      <c r="C7" s="6" t="s">
        <v>230</v>
      </c>
      <c r="D7" s="6" t="s">
        <v>241</v>
      </c>
      <c r="E7" s="6" t="s">
        <v>232</v>
      </c>
    </row>
    <row r="8" spans="1:5" x14ac:dyDescent="0.25">
      <c r="A8" s="6" t="s">
        <v>242</v>
      </c>
      <c r="B8" s="7" t="s">
        <v>243</v>
      </c>
      <c r="C8" s="6" t="s">
        <v>230</v>
      </c>
      <c r="D8" s="6" t="s">
        <v>244</v>
      </c>
      <c r="E8" s="6" t="s">
        <v>232</v>
      </c>
    </row>
    <row r="9" spans="1:5" x14ac:dyDescent="0.25">
      <c r="A9" s="6" t="s">
        <v>245</v>
      </c>
      <c r="B9" s="7" t="s">
        <v>246</v>
      </c>
      <c r="C9" s="6" t="s">
        <v>230</v>
      </c>
      <c r="D9" s="6" t="s">
        <v>247</v>
      </c>
      <c r="E9" s="6" t="s">
        <v>232</v>
      </c>
    </row>
    <row r="10" spans="1:5" x14ac:dyDescent="0.25">
      <c r="A10" s="6" t="s">
        <v>248</v>
      </c>
      <c r="B10" s="7" t="s">
        <v>249</v>
      </c>
      <c r="C10" s="6" t="s">
        <v>230</v>
      </c>
      <c r="D10" s="6" t="s">
        <v>250</v>
      </c>
      <c r="E10" s="6" t="s">
        <v>232</v>
      </c>
    </row>
    <row r="11" spans="1:5" x14ac:dyDescent="0.25">
      <c r="A11" s="6" t="s">
        <v>251</v>
      </c>
      <c r="B11" s="7" t="s">
        <v>252</v>
      </c>
      <c r="C11" s="6" t="s">
        <v>253</v>
      </c>
      <c r="D11" s="6" t="s">
        <v>254</v>
      </c>
      <c r="E11" s="6" t="s">
        <v>232</v>
      </c>
    </row>
    <row r="12" spans="1:5" x14ac:dyDescent="0.25">
      <c r="A12" s="6" t="s">
        <v>28</v>
      </c>
      <c r="B12" s="7" t="s">
        <v>28</v>
      </c>
      <c r="C12" s="6" t="s">
        <v>253</v>
      </c>
      <c r="D12" s="6" t="s">
        <v>255</v>
      </c>
      <c r="E12" s="6" t="s">
        <v>232</v>
      </c>
    </row>
    <row r="13" spans="1:5" x14ac:dyDescent="0.25">
      <c r="A13" s="6" t="s">
        <v>256</v>
      </c>
      <c r="B13" s="7" t="s">
        <v>257</v>
      </c>
      <c r="C13" s="6" t="s">
        <v>253</v>
      </c>
      <c r="D13" s="6" t="s">
        <v>258</v>
      </c>
      <c r="E13" s="6" t="s">
        <v>232</v>
      </c>
    </row>
    <row r="14" spans="1:5" x14ac:dyDescent="0.25">
      <c r="A14" s="6" t="s">
        <v>259</v>
      </c>
      <c r="B14" s="7" t="s">
        <v>260</v>
      </c>
      <c r="C14" s="6" t="s">
        <v>253</v>
      </c>
      <c r="D14" s="6" t="s">
        <v>261</v>
      </c>
      <c r="E14" s="6" t="s">
        <v>232</v>
      </c>
    </row>
    <row r="15" spans="1:5" x14ac:dyDescent="0.25">
      <c r="A15" s="6" t="s">
        <v>262</v>
      </c>
      <c r="B15" s="7" t="s">
        <v>263</v>
      </c>
      <c r="C15" s="6" t="s">
        <v>253</v>
      </c>
      <c r="D15" s="6" t="s">
        <v>264</v>
      </c>
      <c r="E15" s="6" t="s">
        <v>232</v>
      </c>
    </row>
    <row r="16" spans="1:5" x14ac:dyDescent="0.25">
      <c r="A16" s="6" t="s">
        <v>61</v>
      </c>
      <c r="B16" s="7" t="s">
        <v>61</v>
      </c>
      <c r="C16" s="6" t="s">
        <v>253</v>
      </c>
      <c r="D16" s="6" t="s">
        <v>265</v>
      </c>
      <c r="E16" s="6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6" customWidth="1"/>
  </cols>
  <sheetData>
    <row r="1" ht="20" customHeight="1" spans="1:5" x14ac:dyDescent="0.25">
      <c r="A1" s="6" t="s">
        <v>110</v>
      </c>
      <c r="B1" s="7" t="s">
        <v>111</v>
      </c>
      <c r="C1" s="6" t="s">
        <v>112</v>
      </c>
      <c r="D1" s="6" t="s">
        <v>113</v>
      </c>
      <c r="E1" s="6" t="s">
        <v>114</v>
      </c>
    </row>
    <row r="2" ht="20" customHeight="1" spans="1:5" x14ac:dyDescent="0.25">
      <c r="A2" s="6" t="s">
        <v>115</v>
      </c>
      <c r="B2" s="7" t="s">
        <v>42</v>
      </c>
      <c r="C2" s="8">
        <v>5000</v>
      </c>
      <c r="D2" s="8">
        <v>0</v>
      </c>
      <c r="E2" s="8">
        <v>5000</v>
      </c>
    </row>
    <row r="3" ht="20" customHeight="1" spans="1:5" x14ac:dyDescent="0.25">
      <c r="A3" s="6" t="s">
        <v>115</v>
      </c>
      <c r="B3" s="7" t="s">
        <v>116</v>
      </c>
      <c r="C3" s="8">
        <v>5000</v>
      </c>
      <c r="D3" s="8">
        <v>0</v>
      </c>
      <c r="E3" s="8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</vt:lpstr>
      <vt:lpstr>SLA</vt:lpstr>
      <vt:lpstr>Segment reoprt</vt:lpstr>
      <vt:lpstr>Cash Flow</vt:lpstr>
      <vt:lpstr>Changes in Equity</vt:lpstr>
      <vt:lpstr>Notes and Disclosures</vt:lpstr>
      <vt:lpstr>XBRL Mapping</vt:lpstr>
      <vt:lpstr>Unmapped Ledgers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Reporting Engine</dc:creator>
  <dc:title/>
  <dc:subject/>
  <dc:description/>
  <cp:keywords/>
  <cp:category/>
  <cp:lastModifiedBy>Unknown</cp:lastModifiedBy>
  <dcterms:created xsi:type="dcterms:W3CDTF">2026-07-04T10:00:45Z</dcterms:created>
  <dcterms:modified xsi:type="dcterms:W3CDTF">2026-07-04T10:00:45Z</dcterms:modified>
</cp:coreProperties>
</file>